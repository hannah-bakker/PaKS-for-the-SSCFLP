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nna\Documents\Projekte\25_paks10\submission-ijoc\Revision 2\PaKS-for-the-SSCFLP\results\"/>
    </mc:Choice>
  </mc:AlternateContent>
  <xr:revisionPtr revIDLastSave="0" documentId="13_ncr:1_{0DDB0776-9193-402B-969D-83A798FC676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Benchmark" sheetId="1" r:id="rId1"/>
    <sheet name="NewInstances" sheetId="2" r:id="rId2"/>
    <sheet name="Stochasicity_all" sheetId="3" state="hidden" r:id="rId3"/>
  </sheets>
  <definedNames>
    <definedName name="_xlnm._FilterDatabase" localSheetId="0" hidden="1">Benchmark!$A$1:$Y$113</definedName>
    <definedName name="_xlnm._FilterDatabase" localSheetId="1" hidden="1">NewInstances!$A$1:$V$426</definedName>
    <definedName name="_xlnm._FilterDatabase" localSheetId="2" hidden="1">Stochasicity_all!$A$2:$B$114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3" l="1"/>
  <c r="AB5" i="3"/>
  <c r="AB6" i="3"/>
  <c r="AB7" i="3"/>
  <c r="AB10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S4" i="3"/>
  <c r="S5" i="3"/>
  <c r="S6" i="3"/>
  <c r="R7" i="3"/>
  <c r="S8" i="3"/>
  <c r="S9" i="3"/>
  <c r="S10" i="3"/>
  <c r="R11" i="3"/>
  <c r="S12" i="3"/>
  <c r="S13" i="3"/>
  <c r="S14" i="3"/>
  <c r="R15" i="3"/>
  <c r="S16" i="3"/>
  <c r="S17" i="3"/>
  <c r="S18" i="3"/>
  <c r="R19" i="3"/>
  <c r="S20" i="3"/>
  <c r="S21" i="3"/>
  <c r="S22" i="3"/>
  <c r="R23" i="3"/>
  <c r="S24" i="3"/>
  <c r="S25" i="3"/>
  <c r="S26" i="3"/>
  <c r="R27" i="3"/>
  <c r="S28" i="3"/>
  <c r="S29" i="3"/>
  <c r="S30" i="3"/>
  <c r="R31" i="3"/>
  <c r="S32" i="3"/>
  <c r="S33" i="3"/>
  <c r="S34" i="3"/>
  <c r="R35" i="3"/>
  <c r="S36" i="3"/>
  <c r="S37" i="3"/>
  <c r="S38" i="3"/>
  <c r="R39" i="3"/>
  <c r="S40" i="3"/>
  <c r="S41" i="3"/>
  <c r="S42" i="3"/>
  <c r="R43" i="3"/>
  <c r="S44" i="3"/>
  <c r="S45" i="3"/>
  <c r="S46" i="3"/>
  <c r="R47" i="3"/>
  <c r="S48" i="3"/>
  <c r="S49" i="3"/>
  <c r="S50" i="3"/>
  <c r="R51" i="3"/>
  <c r="S52" i="3"/>
  <c r="S53" i="3"/>
  <c r="S54" i="3"/>
  <c r="R55" i="3"/>
  <c r="S56" i="3"/>
  <c r="S57" i="3"/>
  <c r="S58" i="3"/>
  <c r="R59" i="3"/>
  <c r="S60" i="3"/>
  <c r="S61" i="3"/>
  <c r="S62" i="3"/>
  <c r="R63" i="3"/>
  <c r="S64" i="3"/>
  <c r="S65" i="3"/>
  <c r="S66" i="3"/>
  <c r="R67" i="3"/>
  <c r="S68" i="3"/>
  <c r="S69" i="3"/>
  <c r="S70" i="3"/>
  <c r="R71" i="3"/>
  <c r="S72" i="3"/>
  <c r="S73" i="3"/>
  <c r="S74" i="3"/>
  <c r="R75" i="3"/>
  <c r="S76" i="3"/>
  <c r="S77" i="3"/>
  <c r="S78" i="3"/>
  <c r="R79" i="3"/>
  <c r="S80" i="3"/>
  <c r="S81" i="3"/>
  <c r="S82" i="3"/>
  <c r="R83" i="3"/>
  <c r="S84" i="3"/>
  <c r="S85" i="3"/>
  <c r="S86" i="3"/>
  <c r="R87" i="3"/>
  <c r="S88" i="3"/>
  <c r="S89" i="3"/>
  <c r="S90" i="3"/>
  <c r="R91" i="3"/>
  <c r="S92" i="3"/>
  <c r="S93" i="3"/>
  <c r="S94" i="3"/>
  <c r="R95" i="3"/>
  <c r="S96" i="3"/>
  <c r="S97" i="3"/>
  <c r="S98" i="3"/>
  <c r="R99" i="3"/>
  <c r="S100" i="3"/>
  <c r="S101" i="3"/>
  <c r="S102" i="3"/>
  <c r="R103" i="3"/>
  <c r="S104" i="3"/>
  <c r="S105" i="3"/>
  <c r="S106" i="3"/>
  <c r="R107" i="3"/>
  <c r="S108" i="3"/>
  <c r="S109" i="3"/>
  <c r="S110" i="3"/>
  <c r="R111" i="3"/>
  <c r="S112" i="3"/>
  <c r="S113" i="3"/>
  <c r="R114" i="3"/>
  <c r="R3" i="3"/>
  <c r="J6" i="3"/>
  <c r="J9" i="3"/>
  <c r="J10" i="3"/>
  <c r="J18" i="3"/>
  <c r="J21" i="3"/>
  <c r="J22" i="3"/>
  <c r="J25" i="3"/>
  <c r="J28" i="3"/>
  <c r="J33" i="3"/>
  <c r="J36" i="3"/>
  <c r="J37" i="3"/>
  <c r="J45" i="3"/>
  <c r="J48" i="3"/>
  <c r="J49" i="3"/>
  <c r="J52" i="3"/>
  <c r="J53" i="3"/>
  <c r="J56" i="3"/>
  <c r="J61" i="3"/>
  <c r="J64" i="3"/>
  <c r="J65" i="3"/>
  <c r="J73" i="3"/>
  <c r="J76" i="3"/>
  <c r="J77" i="3"/>
  <c r="J80" i="3"/>
  <c r="J81" i="3"/>
  <c r="J84" i="3"/>
  <c r="J89" i="3"/>
  <c r="J92" i="3"/>
  <c r="J93" i="3"/>
  <c r="J101" i="3"/>
  <c r="J104" i="3"/>
  <c r="J105" i="3"/>
  <c r="J108" i="3"/>
  <c r="J109" i="3"/>
  <c r="I112" i="3"/>
  <c r="I3" i="3"/>
  <c r="AB11" i="3" l="1"/>
  <c r="AB8" i="3"/>
  <c r="J17" i="3"/>
  <c r="J72" i="3"/>
  <c r="J100" i="3"/>
  <c r="J44" i="3"/>
  <c r="J113" i="3"/>
  <c r="J85" i="3"/>
  <c r="J57" i="3"/>
  <c r="J29" i="3"/>
  <c r="J5" i="3"/>
  <c r="J14" i="3"/>
  <c r="J97" i="3"/>
  <c r="J69" i="3"/>
  <c r="J41" i="3"/>
  <c r="J13" i="3"/>
  <c r="J96" i="3"/>
  <c r="J68" i="3"/>
  <c r="J40" i="3"/>
  <c r="AB9" i="3"/>
  <c r="AC9" i="3" s="1"/>
  <c r="J88" i="3"/>
  <c r="J60" i="3"/>
  <c r="J32" i="3"/>
  <c r="I23" i="3"/>
  <c r="I19" i="3"/>
  <c r="I15" i="3"/>
  <c r="I11" i="3"/>
  <c r="I7" i="3"/>
  <c r="J114" i="3"/>
  <c r="I110" i="3"/>
  <c r="J106" i="3"/>
  <c r="J102" i="3"/>
  <c r="J98" i="3"/>
  <c r="J94" i="3"/>
  <c r="J90" i="3"/>
  <c r="J86" i="3"/>
  <c r="J82" i="3"/>
  <c r="J78" i="3"/>
  <c r="J74" i="3"/>
  <c r="J70" i="3"/>
  <c r="J66" i="3"/>
  <c r="J62" i="3"/>
  <c r="J58" i="3"/>
  <c r="J54" i="3"/>
  <c r="J50" i="3"/>
  <c r="J46" i="3"/>
  <c r="J42" i="3"/>
  <c r="J38" i="3"/>
  <c r="J34" i="3"/>
  <c r="J30" i="3"/>
  <c r="J26" i="3"/>
  <c r="AC97" i="3"/>
  <c r="AC29" i="3"/>
  <c r="AC33" i="3"/>
  <c r="AA113" i="3"/>
  <c r="AC113" i="3" s="1"/>
  <c r="AA109" i="3"/>
  <c r="AC109" i="3" s="1"/>
  <c r="AA105" i="3"/>
  <c r="AC105" i="3" s="1"/>
  <c r="AA101" i="3"/>
  <c r="AC101" i="3" s="1"/>
  <c r="AA97" i="3"/>
  <c r="AA93" i="3"/>
  <c r="AC93" i="3" s="1"/>
  <c r="AA89" i="3"/>
  <c r="AC89" i="3" s="1"/>
  <c r="AA85" i="3"/>
  <c r="AC85" i="3" s="1"/>
  <c r="AA81" i="3"/>
  <c r="AC81" i="3" s="1"/>
  <c r="AA77" i="3"/>
  <c r="AC77" i="3" s="1"/>
  <c r="AA73" i="3"/>
  <c r="AC73" i="3" s="1"/>
  <c r="AA69" i="3"/>
  <c r="AC69" i="3" s="1"/>
  <c r="AA65" i="3"/>
  <c r="AC65" i="3" s="1"/>
  <c r="AA61" i="3"/>
  <c r="AC61" i="3" s="1"/>
  <c r="AA57" i="3"/>
  <c r="AC57" i="3" s="1"/>
  <c r="AA53" i="3"/>
  <c r="AC53" i="3" s="1"/>
  <c r="AA49" i="3"/>
  <c r="AC49" i="3" s="1"/>
  <c r="AA45" i="3"/>
  <c r="AC45" i="3" s="1"/>
  <c r="AA41" i="3"/>
  <c r="AC41" i="3" s="1"/>
  <c r="AA37" i="3"/>
  <c r="AC37" i="3" s="1"/>
  <c r="AA33" i="3"/>
  <c r="AA29" i="3"/>
  <c r="AA25" i="3"/>
  <c r="AC25" i="3" s="1"/>
  <c r="AA21" i="3"/>
  <c r="AC21" i="3" s="1"/>
  <c r="AA17" i="3"/>
  <c r="AC17" i="3" s="1"/>
  <c r="AA13" i="3"/>
  <c r="AC13" i="3" s="1"/>
  <c r="AA9" i="3"/>
  <c r="AA5" i="3"/>
  <c r="AC5" i="3" s="1"/>
  <c r="AA112" i="3"/>
  <c r="AC112" i="3" s="1"/>
  <c r="AA108" i="3"/>
  <c r="AC108" i="3" s="1"/>
  <c r="AA104" i="3"/>
  <c r="AC104" i="3" s="1"/>
  <c r="AA100" i="3"/>
  <c r="AC100" i="3" s="1"/>
  <c r="AA96" i="3"/>
  <c r="AC96" i="3" s="1"/>
  <c r="AA92" i="3"/>
  <c r="AC92" i="3" s="1"/>
  <c r="AA88" i="3"/>
  <c r="AC88" i="3" s="1"/>
  <c r="AA84" i="3"/>
  <c r="AC84" i="3" s="1"/>
  <c r="AA80" i="3"/>
  <c r="AC80" i="3" s="1"/>
  <c r="AA76" i="3"/>
  <c r="AC76" i="3" s="1"/>
  <c r="AA72" i="3"/>
  <c r="AC72" i="3" s="1"/>
  <c r="AA68" i="3"/>
  <c r="AC68" i="3" s="1"/>
  <c r="AA64" i="3"/>
  <c r="AC64" i="3" s="1"/>
  <c r="AA60" i="3"/>
  <c r="AC60" i="3" s="1"/>
  <c r="AA56" i="3"/>
  <c r="AC56" i="3" s="1"/>
  <c r="AA52" i="3"/>
  <c r="AC52" i="3" s="1"/>
  <c r="AA48" i="3"/>
  <c r="AC48" i="3" s="1"/>
  <c r="AA44" i="3"/>
  <c r="AC44" i="3" s="1"/>
  <c r="AA40" i="3"/>
  <c r="AC40" i="3" s="1"/>
  <c r="AA36" i="3"/>
  <c r="AC36" i="3" s="1"/>
  <c r="AA32" i="3"/>
  <c r="AC32" i="3" s="1"/>
  <c r="AA28" i="3"/>
  <c r="AC28" i="3" s="1"/>
  <c r="AA24" i="3"/>
  <c r="AC24" i="3" s="1"/>
  <c r="AA20" i="3"/>
  <c r="AC20" i="3" s="1"/>
  <c r="AA16" i="3"/>
  <c r="AC16" i="3" s="1"/>
  <c r="AA12" i="3"/>
  <c r="AC12" i="3" s="1"/>
  <c r="AA8" i="3"/>
  <c r="AC8" i="3" s="1"/>
  <c r="AA4" i="3"/>
  <c r="AC4" i="3" s="1"/>
  <c r="AC99" i="3"/>
  <c r="AC95" i="3"/>
  <c r="AA3" i="3"/>
  <c r="AA111" i="3"/>
  <c r="AC111" i="3" s="1"/>
  <c r="AA107" i="3"/>
  <c r="AC107" i="3" s="1"/>
  <c r="AA103" i="3"/>
  <c r="AC103" i="3" s="1"/>
  <c r="AA99" i="3"/>
  <c r="AA95" i="3"/>
  <c r="AA91" i="3"/>
  <c r="AA87" i="3"/>
  <c r="AC87" i="3" s="1"/>
  <c r="AA83" i="3"/>
  <c r="AC83" i="3" s="1"/>
  <c r="AA79" i="3"/>
  <c r="AC79" i="3" s="1"/>
  <c r="AA75" i="3"/>
  <c r="AC75" i="3" s="1"/>
  <c r="AA71" i="3"/>
  <c r="AC71" i="3" s="1"/>
  <c r="AA67" i="3"/>
  <c r="AC67" i="3" s="1"/>
  <c r="AA63" i="3"/>
  <c r="AC63" i="3" s="1"/>
  <c r="AA59" i="3"/>
  <c r="AC59" i="3" s="1"/>
  <c r="AA55" i="3"/>
  <c r="AC55" i="3" s="1"/>
  <c r="AA51" i="3"/>
  <c r="AC51" i="3" s="1"/>
  <c r="AA47" i="3"/>
  <c r="AC47" i="3" s="1"/>
  <c r="AA43" i="3"/>
  <c r="AC43" i="3" s="1"/>
  <c r="AA39" i="3"/>
  <c r="AC39" i="3" s="1"/>
  <c r="AA35" i="3"/>
  <c r="AC35" i="3" s="1"/>
  <c r="AA31" i="3"/>
  <c r="AC31" i="3" s="1"/>
  <c r="AA27" i="3"/>
  <c r="AC27" i="3" s="1"/>
  <c r="AA23" i="3"/>
  <c r="AC23" i="3" s="1"/>
  <c r="AA19" i="3"/>
  <c r="AC19" i="3" s="1"/>
  <c r="AA15" i="3"/>
  <c r="AC15" i="3" s="1"/>
  <c r="AA11" i="3"/>
  <c r="AC11" i="3" s="1"/>
  <c r="AA7" i="3"/>
  <c r="AC7" i="3" s="1"/>
  <c r="AA114" i="3"/>
  <c r="AC114" i="3" s="1"/>
  <c r="AA110" i="3"/>
  <c r="AC110" i="3" s="1"/>
  <c r="AA106" i="3"/>
  <c r="AC106" i="3" s="1"/>
  <c r="AA102" i="3"/>
  <c r="AC102" i="3" s="1"/>
  <c r="AA98" i="3"/>
  <c r="AC98" i="3" s="1"/>
  <c r="AA94" i="3"/>
  <c r="AC94" i="3" s="1"/>
  <c r="AA90" i="3"/>
  <c r="AC90" i="3" s="1"/>
  <c r="AA86" i="3"/>
  <c r="AC86" i="3" s="1"/>
  <c r="AA82" i="3"/>
  <c r="AC82" i="3" s="1"/>
  <c r="AA78" i="3"/>
  <c r="AC78" i="3" s="1"/>
  <c r="AA74" i="3"/>
  <c r="AC74" i="3" s="1"/>
  <c r="AA70" i="3"/>
  <c r="AC70" i="3" s="1"/>
  <c r="AA66" i="3"/>
  <c r="AC66" i="3" s="1"/>
  <c r="AA62" i="3"/>
  <c r="AC62" i="3" s="1"/>
  <c r="AA58" i="3"/>
  <c r="AC58" i="3" s="1"/>
  <c r="AA54" i="3"/>
  <c r="AC54" i="3" s="1"/>
  <c r="AA50" i="3"/>
  <c r="AC50" i="3" s="1"/>
  <c r="AA46" i="3"/>
  <c r="AC46" i="3" s="1"/>
  <c r="AA42" i="3"/>
  <c r="AC42" i="3" s="1"/>
  <c r="AA38" i="3"/>
  <c r="AC38" i="3" s="1"/>
  <c r="AA34" i="3"/>
  <c r="AC34" i="3" s="1"/>
  <c r="AA30" i="3"/>
  <c r="AC30" i="3" s="1"/>
  <c r="AA26" i="3"/>
  <c r="AC26" i="3" s="1"/>
  <c r="AA22" i="3"/>
  <c r="AC22" i="3" s="1"/>
  <c r="AA18" i="3"/>
  <c r="AC18" i="3" s="1"/>
  <c r="AA14" i="3"/>
  <c r="AC14" i="3" s="1"/>
  <c r="AA10" i="3"/>
  <c r="AC10" i="3" s="1"/>
  <c r="AA6" i="3"/>
  <c r="AC6" i="3" s="1"/>
  <c r="R110" i="3"/>
  <c r="T110" i="3" s="1"/>
  <c r="R106" i="3"/>
  <c r="T106" i="3" s="1"/>
  <c r="R102" i="3"/>
  <c r="T102" i="3" s="1"/>
  <c r="R98" i="3"/>
  <c r="T98" i="3" s="1"/>
  <c r="R94" i="3"/>
  <c r="T94" i="3" s="1"/>
  <c r="R90" i="3"/>
  <c r="T90" i="3" s="1"/>
  <c r="R86" i="3"/>
  <c r="T86" i="3" s="1"/>
  <c r="R82" i="3"/>
  <c r="T82" i="3" s="1"/>
  <c r="R78" i="3"/>
  <c r="T78" i="3" s="1"/>
  <c r="R74" i="3"/>
  <c r="T74" i="3" s="1"/>
  <c r="R70" i="3"/>
  <c r="T70" i="3" s="1"/>
  <c r="R66" i="3"/>
  <c r="T66" i="3" s="1"/>
  <c r="R62" i="3"/>
  <c r="T62" i="3" s="1"/>
  <c r="R58" i="3"/>
  <c r="T58" i="3" s="1"/>
  <c r="R54" i="3"/>
  <c r="T54" i="3" s="1"/>
  <c r="R50" i="3"/>
  <c r="T50" i="3" s="1"/>
  <c r="R46" i="3"/>
  <c r="T46" i="3" s="1"/>
  <c r="R42" i="3"/>
  <c r="T42" i="3" s="1"/>
  <c r="R38" i="3"/>
  <c r="T38" i="3" s="1"/>
  <c r="R34" i="3"/>
  <c r="T34" i="3" s="1"/>
  <c r="R30" i="3"/>
  <c r="T30" i="3" s="1"/>
  <c r="R26" i="3"/>
  <c r="T26" i="3" s="1"/>
  <c r="R22" i="3"/>
  <c r="T22" i="3" s="1"/>
  <c r="R18" i="3"/>
  <c r="T18" i="3" s="1"/>
  <c r="R14" i="3"/>
  <c r="T14" i="3" s="1"/>
  <c r="R10" i="3"/>
  <c r="T10" i="3" s="1"/>
  <c r="R6" i="3"/>
  <c r="T6" i="3" s="1"/>
  <c r="R113" i="3"/>
  <c r="T113" i="3" s="1"/>
  <c r="R109" i="3"/>
  <c r="T109" i="3" s="1"/>
  <c r="R105" i="3"/>
  <c r="T105" i="3" s="1"/>
  <c r="R101" i="3"/>
  <c r="T101" i="3" s="1"/>
  <c r="R97" i="3"/>
  <c r="T97" i="3" s="1"/>
  <c r="R93" i="3"/>
  <c r="T93" i="3" s="1"/>
  <c r="R89" i="3"/>
  <c r="T89" i="3" s="1"/>
  <c r="R85" i="3"/>
  <c r="T85" i="3" s="1"/>
  <c r="R81" i="3"/>
  <c r="T81" i="3" s="1"/>
  <c r="R77" i="3"/>
  <c r="T77" i="3" s="1"/>
  <c r="R73" i="3"/>
  <c r="T73" i="3" s="1"/>
  <c r="R69" i="3"/>
  <c r="T69" i="3" s="1"/>
  <c r="R65" i="3"/>
  <c r="T65" i="3" s="1"/>
  <c r="R61" i="3"/>
  <c r="T61" i="3" s="1"/>
  <c r="R57" i="3"/>
  <c r="T57" i="3" s="1"/>
  <c r="R53" i="3"/>
  <c r="T53" i="3" s="1"/>
  <c r="R49" i="3"/>
  <c r="T49" i="3" s="1"/>
  <c r="R45" i="3"/>
  <c r="T45" i="3" s="1"/>
  <c r="R41" i="3"/>
  <c r="T41" i="3" s="1"/>
  <c r="R37" i="3"/>
  <c r="T37" i="3" s="1"/>
  <c r="R33" i="3"/>
  <c r="T33" i="3" s="1"/>
  <c r="R29" i="3"/>
  <c r="T29" i="3" s="1"/>
  <c r="R25" i="3"/>
  <c r="T25" i="3" s="1"/>
  <c r="R21" i="3"/>
  <c r="T21" i="3" s="1"/>
  <c r="R17" i="3"/>
  <c r="T17" i="3" s="1"/>
  <c r="R13" i="3"/>
  <c r="T13" i="3" s="1"/>
  <c r="R9" i="3"/>
  <c r="T9" i="3" s="1"/>
  <c r="R5" i="3"/>
  <c r="T5" i="3" s="1"/>
  <c r="J24" i="3"/>
  <c r="J20" i="3"/>
  <c r="J16" i="3"/>
  <c r="J12" i="3"/>
  <c r="J8" i="3"/>
  <c r="J4" i="3"/>
  <c r="R112" i="3"/>
  <c r="T112" i="3" s="1"/>
  <c r="R108" i="3"/>
  <c r="T108" i="3" s="1"/>
  <c r="R104" i="3"/>
  <c r="T104" i="3" s="1"/>
  <c r="R100" i="3"/>
  <c r="T100" i="3" s="1"/>
  <c r="R96" i="3"/>
  <c r="T96" i="3" s="1"/>
  <c r="R92" i="3"/>
  <c r="T92" i="3" s="1"/>
  <c r="R88" i="3"/>
  <c r="T88" i="3" s="1"/>
  <c r="R84" i="3"/>
  <c r="T84" i="3" s="1"/>
  <c r="R80" i="3"/>
  <c r="T80" i="3" s="1"/>
  <c r="R76" i="3"/>
  <c r="T76" i="3" s="1"/>
  <c r="R72" i="3"/>
  <c r="T72" i="3" s="1"/>
  <c r="R68" i="3"/>
  <c r="T68" i="3" s="1"/>
  <c r="R64" i="3"/>
  <c r="T64" i="3" s="1"/>
  <c r="R60" i="3"/>
  <c r="T60" i="3" s="1"/>
  <c r="R56" i="3"/>
  <c r="T56" i="3" s="1"/>
  <c r="R52" i="3"/>
  <c r="T52" i="3" s="1"/>
  <c r="R48" i="3"/>
  <c r="T48" i="3" s="1"/>
  <c r="R44" i="3"/>
  <c r="T44" i="3" s="1"/>
  <c r="R40" i="3"/>
  <c r="T40" i="3" s="1"/>
  <c r="R36" i="3"/>
  <c r="T36" i="3" s="1"/>
  <c r="R32" i="3"/>
  <c r="T32" i="3" s="1"/>
  <c r="R28" i="3"/>
  <c r="T28" i="3" s="1"/>
  <c r="R24" i="3"/>
  <c r="T24" i="3" s="1"/>
  <c r="R20" i="3"/>
  <c r="T20" i="3" s="1"/>
  <c r="R16" i="3"/>
  <c r="T16" i="3" s="1"/>
  <c r="R12" i="3"/>
  <c r="T12" i="3" s="1"/>
  <c r="R8" i="3"/>
  <c r="T8" i="3" s="1"/>
  <c r="R4" i="3"/>
  <c r="T4" i="3" s="1"/>
  <c r="I111" i="3"/>
  <c r="I107" i="3"/>
  <c r="I103" i="3"/>
  <c r="I99" i="3"/>
  <c r="I95" i="3"/>
  <c r="I91" i="3"/>
  <c r="I87" i="3"/>
  <c r="I83" i="3"/>
  <c r="I79" i="3"/>
  <c r="I75" i="3"/>
  <c r="I71" i="3"/>
  <c r="I67" i="3"/>
  <c r="I63" i="3"/>
  <c r="I59" i="3"/>
  <c r="I55" i="3"/>
  <c r="I51" i="3"/>
  <c r="I47" i="3"/>
  <c r="I43" i="3"/>
  <c r="I39" i="3"/>
  <c r="I35" i="3"/>
  <c r="I31" i="3"/>
  <c r="I27" i="3"/>
  <c r="I114" i="3"/>
  <c r="I106" i="3"/>
  <c r="K106" i="3" s="1"/>
  <c r="I102" i="3"/>
  <c r="I98" i="3"/>
  <c r="I94" i="3"/>
  <c r="I90" i="3"/>
  <c r="I86" i="3"/>
  <c r="I82" i="3"/>
  <c r="I78" i="3"/>
  <c r="I74" i="3"/>
  <c r="I70" i="3"/>
  <c r="I66" i="3"/>
  <c r="I62" i="3"/>
  <c r="I58" i="3"/>
  <c r="K58" i="3" s="1"/>
  <c r="I54" i="3"/>
  <c r="I50" i="3"/>
  <c r="I46" i="3"/>
  <c r="K46" i="3" s="1"/>
  <c r="I42" i="3"/>
  <c r="K42" i="3" s="1"/>
  <c r="I38" i="3"/>
  <c r="I34" i="3"/>
  <c r="I30" i="3"/>
  <c r="I26" i="3"/>
  <c r="I22" i="3"/>
  <c r="K22" i="3" s="1"/>
  <c r="I18" i="3"/>
  <c r="K18" i="3" s="1"/>
  <c r="I14" i="3"/>
  <c r="K14" i="3" s="1"/>
  <c r="I10" i="3"/>
  <c r="K10" i="3" s="1"/>
  <c r="I6" i="3"/>
  <c r="K6" i="3" s="1"/>
  <c r="I113" i="3"/>
  <c r="K113" i="3" s="1"/>
  <c r="I109" i="3"/>
  <c r="K109" i="3" s="1"/>
  <c r="I105" i="3"/>
  <c r="K105" i="3" s="1"/>
  <c r="I101" i="3"/>
  <c r="K101" i="3" s="1"/>
  <c r="I97" i="3"/>
  <c r="I93" i="3"/>
  <c r="K93" i="3" s="1"/>
  <c r="I89" i="3"/>
  <c r="K89" i="3" s="1"/>
  <c r="I85" i="3"/>
  <c r="I81" i="3"/>
  <c r="K81" i="3" s="1"/>
  <c r="I77" i="3"/>
  <c r="K77" i="3" s="1"/>
  <c r="I73" i="3"/>
  <c r="K73" i="3" s="1"/>
  <c r="I69" i="3"/>
  <c r="K69" i="3" s="1"/>
  <c r="I65" i="3"/>
  <c r="K65" i="3" s="1"/>
  <c r="I61" i="3"/>
  <c r="K61" i="3" s="1"/>
  <c r="I57" i="3"/>
  <c r="K57" i="3" s="1"/>
  <c r="I53" i="3"/>
  <c r="K53" i="3" s="1"/>
  <c r="I49" i="3"/>
  <c r="K49" i="3" s="1"/>
  <c r="I45" i="3"/>
  <c r="K45" i="3" s="1"/>
  <c r="I41" i="3"/>
  <c r="K41" i="3" s="1"/>
  <c r="I37" i="3"/>
  <c r="K37" i="3" s="1"/>
  <c r="I33" i="3"/>
  <c r="K33" i="3" s="1"/>
  <c r="I29" i="3"/>
  <c r="I25" i="3"/>
  <c r="K25" i="3" s="1"/>
  <c r="I21" i="3"/>
  <c r="K21" i="3" s="1"/>
  <c r="I17" i="3"/>
  <c r="K17" i="3" s="1"/>
  <c r="I13" i="3"/>
  <c r="K13" i="3" s="1"/>
  <c r="I9" i="3"/>
  <c r="K9" i="3" s="1"/>
  <c r="I5" i="3"/>
  <c r="I108" i="3"/>
  <c r="K108" i="3" s="1"/>
  <c r="I104" i="3"/>
  <c r="K104" i="3" s="1"/>
  <c r="I100" i="3"/>
  <c r="K100" i="3" s="1"/>
  <c r="I96" i="3"/>
  <c r="K96" i="3" s="1"/>
  <c r="I92" i="3"/>
  <c r="K92" i="3" s="1"/>
  <c r="I88" i="3"/>
  <c r="I84" i="3"/>
  <c r="K84" i="3" s="1"/>
  <c r="I80" i="3"/>
  <c r="K80" i="3" s="1"/>
  <c r="I76" i="3"/>
  <c r="K76" i="3" s="1"/>
  <c r="I72" i="3"/>
  <c r="K72" i="3" s="1"/>
  <c r="I68" i="3"/>
  <c r="K68" i="3" s="1"/>
  <c r="I64" i="3"/>
  <c r="K64" i="3" s="1"/>
  <c r="I60" i="3"/>
  <c r="I56" i="3"/>
  <c r="K56" i="3" s="1"/>
  <c r="I52" i="3"/>
  <c r="K52" i="3" s="1"/>
  <c r="I48" i="3"/>
  <c r="K48" i="3" s="1"/>
  <c r="I44" i="3"/>
  <c r="I40" i="3"/>
  <c r="K40" i="3" s="1"/>
  <c r="I36" i="3"/>
  <c r="K36" i="3" s="1"/>
  <c r="I32" i="3"/>
  <c r="I28" i="3"/>
  <c r="K28" i="3" s="1"/>
  <c r="I24" i="3"/>
  <c r="I20" i="3"/>
  <c r="I16" i="3"/>
  <c r="I12" i="3"/>
  <c r="K12" i="3" s="1"/>
  <c r="I8" i="3"/>
  <c r="I4" i="3"/>
  <c r="S111" i="3"/>
  <c r="T111" i="3" s="1"/>
  <c r="S107" i="3"/>
  <c r="T107" i="3" s="1"/>
  <c r="S103" i="3"/>
  <c r="T103" i="3" s="1"/>
  <c r="S99" i="3"/>
  <c r="T99" i="3" s="1"/>
  <c r="S95" i="3"/>
  <c r="T95" i="3" s="1"/>
  <c r="S87" i="3"/>
  <c r="T87" i="3" s="1"/>
  <c r="S83" i="3"/>
  <c r="T83" i="3" s="1"/>
  <c r="S79" i="3"/>
  <c r="T79" i="3" s="1"/>
  <c r="S75" i="3"/>
  <c r="T75" i="3" s="1"/>
  <c r="S71" i="3"/>
  <c r="T71" i="3" s="1"/>
  <c r="S67" i="3"/>
  <c r="T67" i="3" s="1"/>
  <c r="S63" i="3"/>
  <c r="T63" i="3" s="1"/>
  <c r="S59" i="3"/>
  <c r="T59" i="3" s="1"/>
  <c r="S55" i="3"/>
  <c r="T55" i="3" s="1"/>
  <c r="S51" i="3"/>
  <c r="T51" i="3" s="1"/>
  <c r="S47" i="3"/>
  <c r="T47" i="3" s="1"/>
  <c r="S43" i="3"/>
  <c r="T43" i="3" s="1"/>
  <c r="S39" i="3"/>
  <c r="T39" i="3" s="1"/>
  <c r="S35" i="3"/>
  <c r="T35" i="3" s="1"/>
  <c r="S31" i="3"/>
  <c r="T31" i="3" s="1"/>
  <c r="S27" i="3"/>
  <c r="T27" i="3" s="1"/>
  <c r="S23" i="3"/>
  <c r="T23" i="3" s="1"/>
  <c r="S19" i="3"/>
  <c r="T19" i="3" s="1"/>
  <c r="S15" i="3"/>
  <c r="T15" i="3" s="1"/>
  <c r="S11" i="3"/>
  <c r="T11" i="3" s="1"/>
  <c r="S7" i="3"/>
  <c r="T7" i="3" s="1"/>
  <c r="J112" i="3"/>
  <c r="K112" i="3" s="1"/>
  <c r="S91" i="3"/>
  <c r="T91" i="3" s="1"/>
  <c r="AB91" i="3"/>
  <c r="J3" i="3"/>
  <c r="S3" i="3"/>
  <c r="T3" i="3" s="1"/>
  <c r="J110" i="3"/>
  <c r="K110" i="3" s="1"/>
  <c r="S114" i="3"/>
  <c r="T114" i="3" s="1"/>
  <c r="J107" i="3"/>
  <c r="J103" i="3"/>
  <c r="J99" i="3"/>
  <c r="J95" i="3"/>
  <c r="J87" i="3"/>
  <c r="J83" i="3"/>
  <c r="J79" i="3"/>
  <c r="J75" i="3"/>
  <c r="J63" i="3"/>
  <c r="J59" i="3"/>
  <c r="K59" i="3" s="1"/>
  <c r="J55" i="3"/>
  <c r="J51" i="3"/>
  <c r="J47" i="3"/>
  <c r="J43" i="3"/>
  <c r="J39" i="3"/>
  <c r="J35" i="3"/>
  <c r="J31" i="3"/>
  <c r="J27" i="3"/>
  <c r="J23" i="3"/>
  <c r="J19" i="3"/>
  <c r="J15" i="3"/>
  <c r="K15" i="3" s="1"/>
  <c r="J11" i="3"/>
  <c r="K11" i="3" s="1"/>
  <c r="J7" i="3"/>
  <c r="J67" i="3"/>
  <c r="J111" i="3"/>
  <c r="J71" i="3"/>
  <c r="AB3" i="3"/>
  <c r="AC3" i="3" s="1"/>
  <c r="J91" i="3"/>
  <c r="P4" i="1"/>
  <c r="N4" i="1" s="1"/>
  <c r="P5" i="1"/>
  <c r="N5" i="1" s="1"/>
  <c r="P9" i="1"/>
  <c r="N9" i="1" s="1"/>
  <c r="P12" i="1"/>
  <c r="N12" i="1" s="1"/>
  <c r="P13" i="1"/>
  <c r="N13" i="1" s="1"/>
  <c r="P21" i="1"/>
  <c r="N21" i="1" s="1"/>
  <c r="P24" i="1"/>
  <c r="N24" i="1" s="1"/>
  <c r="P25" i="1"/>
  <c r="N25" i="1" s="1"/>
  <c r="P28" i="1"/>
  <c r="N28" i="1" s="1"/>
  <c r="P29" i="1"/>
  <c r="N29" i="1" s="1"/>
  <c r="P32" i="1"/>
  <c r="N32" i="1" s="1"/>
  <c r="P33" i="1"/>
  <c r="N33" i="1" s="1"/>
  <c r="P41" i="1"/>
  <c r="N41" i="1" s="1"/>
  <c r="P44" i="1"/>
  <c r="N44" i="1" s="1"/>
  <c r="P45" i="1"/>
  <c r="N45" i="1" s="1"/>
  <c r="P52" i="1"/>
  <c r="N52" i="1" s="1"/>
  <c r="P53" i="1"/>
  <c r="N53" i="1" s="1"/>
  <c r="P57" i="1"/>
  <c r="N57" i="1" s="1"/>
  <c r="P64" i="1"/>
  <c r="N64" i="1" s="1"/>
  <c r="P65" i="1"/>
  <c r="N65" i="1" s="1"/>
  <c r="P68" i="1"/>
  <c r="N68" i="1" s="1"/>
  <c r="P69" i="1"/>
  <c r="N69" i="1" s="1"/>
  <c r="P72" i="1"/>
  <c r="N72" i="1" s="1"/>
  <c r="P73" i="1"/>
  <c r="N73" i="1" s="1"/>
  <c r="P76" i="1"/>
  <c r="N76" i="1" s="1"/>
  <c r="P77" i="1"/>
  <c r="N77" i="1" s="1"/>
  <c r="P80" i="1"/>
  <c r="N80" i="1" s="1"/>
  <c r="P81" i="1"/>
  <c r="N81" i="1" s="1"/>
  <c r="P84" i="1"/>
  <c r="N84" i="1" s="1"/>
  <c r="P85" i="1"/>
  <c r="N85" i="1" s="1"/>
  <c r="P88" i="1"/>
  <c r="N88" i="1" s="1"/>
  <c r="P89" i="1"/>
  <c r="N89" i="1" s="1"/>
  <c r="P92" i="1"/>
  <c r="N92" i="1" s="1"/>
  <c r="P93" i="1"/>
  <c r="N93" i="1" s="1"/>
  <c r="P96" i="1"/>
  <c r="N96" i="1" s="1"/>
  <c r="P100" i="1"/>
  <c r="N100" i="1" s="1"/>
  <c r="P101" i="1"/>
  <c r="N101" i="1" s="1"/>
  <c r="P104" i="1"/>
  <c r="N104" i="1" s="1"/>
  <c r="P105" i="1"/>
  <c r="N105" i="1" s="1"/>
  <c r="P108" i="1"/>
  <c r="N108" i="1" s="1"/>
  <c r="P109" i="1"/>
  <c r="N109" i="1" s="1"/>
  <c r="P112" i="1"/>
  <c r="N112" i="1" s="1"/>
  <c r="P113" i="1"/>
  <c r="N113" i="1" s="1"/>
  <c r="H2" i="1"/>
  <c r="F2" i="1" s="1"/>
  <c r="L2" i="1"/>
  <c r="J2" i="1" s="1"/>
  <c r="P2" i="1"/>
  <c r="N2" i="1" s="1"/>
  <c r="T2" i="1"/>
  <c r="R2" i="1" s="1"/>
  <c r="X2" i="1"/>
  <c r="V2" i="1" s="1"/>
  <c r="H3" i="1"/>
  <c r="F3" i="1" s="1"/>
  <c r="L3" i="1"/>
  <c r="J3" i="1" s="1"/>
  <c r="P3" i="1"/>
  <c r="N3" i="1" s="1"/>
  <c r="T3" i="1"/>
  <c r="R3" i="1" s="1"/>
  <c r="X3" i="1"/>
  <c r="V3" i="1" s="1"/>
  <c r="H4" i="1"/>
  <c r="F4" i="1" s="1"/>
  <c r="L4" i="1"/>
  <c r="J4" i="1" s="1"/>
  <c r="T4" i="1"/>
  <c r="R4" i="1" s="1"/>
  <c r="X4" i="1"/>
  <c r="V4" i="1" s="1"/>
  <c r="H5" i="1"/>
  <c r="F5" i="1" s="1"/>
  <c r="L5" i="1"/>
  <c r="J5" i="1" s="1"/>
  <c r="T5" i="1"/>
  <c r="R5" i="1" s="1"/>
  <c r="X5" i="1"/>
  <c r="V5" i="1" s="1"/>
  <c r="H6" i="1"/>
  <c r="F6" i="1" s="1"/>
  <c r="L6" i="1"/>
  <c r="J6" i="1" s="1"/>
  <c r="P6" i="1"/>
  <c r="N6" i="1" s="1"/>
  <c r="T6" i="1"/>
  <c r="R6" i="1" s="1"/>
  <c r="X6" i="1"/>
  <c r="V6" i="1" s="1"/>
  <c r="H7" i="1"/>
  <c r="F7" i="1" s="1"/>
  <c r="L7" i="1"/>
  <c r="J7" i="1" s="1"/>
  <c r="P7" i="1"/>
  <c r="N7" i="1" s="1"/>
  <c r="T7" i="1"/>
  <c r="R7" i="1" s="1"/>
  <c r="X7" i="1"/>
  <c r="V7" i="1" s="1"/>
  <c r="H8" i="1"/>
  <c r="F8" i="1" s="1"/>
  <c r="L8" i="1"/>
  <c r="J8" i="1" s="1"/>
  <c r="P8" i="1"/>
  <c r="N8" i="1" s="1"/>
  <c r="T8" i="1"/>
  <c r="R8" i="1" s="1"/>
  <c r="X8" i="1"/>
  <c r="V8" i="1" s="1"/>
  <c r="H9" i="1"/>
  <c r="F9" i="1" s="1"/>
  <c r="L9" i="1"/>
  <c r="J9" i="1" s="1"/>
  <c r="T9" i="1"/>
  <c r="R9" i="1" s="1"/>
  <c r="X9" i="1"/>
  <c r="V9" i="1" s="1"/>
  <c r="H10" i="1"/>
  <c r="F10" i="1" s="1"/>
  <c r="L10" i="1"/>
  <c r="J10" i="1" s="1"/>
  <c r="P10" i="1"/>
  <c r="N10" i="1" s="1"/>
  <c r="T10" i="1"/>
  <c r="R10" i="1" s="1"/>
  <c r="X10" i="1"/>
  <c r="V10" i="1" s="1"/>
  <c r="H11" i="1"/>
  <c r="F11" i="1" s="1"/>
  <c r="L11" i="1"/>
  <c r="J11" i="1" s="1"/>
  <c r="P11" i="1"/>
  <c r="N11" i="1" s="1"/>
  <c r="T11" i="1"/>
  <c r="R11" i="1" s="1"/>
  <c r="X11" i="1"/>
  <c r="V11" i="1" s="1"/>
  <c r="H12" i="1"/>
  <c r="F12" i="1" s="1"/>
  <c r="L12" i="1"/>
  <c r="J12" i="1" s="1"/>
  <c r="T12" i="1"/>
  <c r="R12" i="1" s="1"/>
  <c r="X12" i="1"/>
  <c r="V12" i="1" s="1"/>
  <c r="H13" i="1"/>
  <c r="F13" i="1" s="1"/>
  <c r="L13" i="1"/>
  <c r="J13" i="1" s="1"/>
  <c r="T13" i="1"/>
  <c r="R13" i="1" s="1"/>
  <c r="X13" i="1"/>
  <c r="V13" i="1" s="1"/>
  <c r="H14" i="1"/>
  <c r="F14" i="1" s="1"/>
  <c r="L14" i="1"/>
  <c r="J14" i="1" s="1"/>
  <c r="P14" i="1"/>
  <c r="N14" i="1" s="1"/>
  <c r="T14" i="1"/>
  <c r="R14" i="1" s="1"/>
  <c r="X14" i="1"/>
  <c r="V14" i="1" s="1"/>
  <c r="H15" i="1"/>
  <c r="F15" i="1" s="1"/>
  <c r="L15" i="1"/>
  <c r="J15" i="1" s="1"/>
  <c r="P15" i="1"/>
  <c r="N15" i="1" s="1"/>
  <c r="T15" i="1"/>
  <c r="R15" i="1" s="1"/>
  <c r="X15" i="1"/>
  <c r="V15" i="1" s="1"/>
  <c r="H16" i="1"/>
  <c r="F16" i="1" s="1"/>
  <c r="L16" i="1"/>
  <c r="J16" i="1" s="1"/>
  <c r="P16" i="1"/>
  <c r="N16" i="1" s="1"/>
  <c r="T16" i="1"/>
  <c r="R16" i="1" s="1"/>
  <c r="X16" i="1"/>
  <c r="V16" i="1" s="1"/>
  <c r="H17" i="1"/>
  <c r="F17" i="1" s="1"/>
  <c r="L17" i="1"/>
  <c r="J17" i="1" s="1"/>
  <c r="P17" i="1"/>
  <c r="N17" i="1" s="1"/>
  <c r="T17" i="1"/>
  <c r="R17" i="1" s="1"/>
  <c r="X17" i="1"/>
  <c r="V17" i="1" s="1"/>
  <c r="H18" i="1"/>
  <c r="F18" i="1" s="1"/>
  <c r="L18" i="1"/>
  <c r="J18" i="1" s="1"/>
  <c r="P18" i="1"/>
  <c r="N18" i="1" s="1"/>
  <c r="T18" i="1"/>
  <c r="R18" i="1" s="1"/>
  <c r="X18" i="1"/>
  <c r="V18" i="1" s="1"/>
  <c r="H19" i="1"/>
  <c r="F19" i="1" s="1"/>
  <c r="L19" i="1"/>
  <c r="J19" i="1" s="1"/>
  <c r="P19" i="1"/>
  <c r="N19" i="1" s="1"/>
  <c r="T19" i="1"/>
  <c r="R19" i="1" s="1"/>
  <c r="X19" i="1"/>
  <c r="V19" i="1" s="1"/>
  <c r="H20" i="1"/>
  <c r="F20" i="1" s="1"/>
  <c r="L20" i="1"/>
  <c r="J20" i="1" s="1"/>
  <c r="P20" i="1"/>
  <c r="N20" i="1" s="1"/>
  <c r="T20" i="1"/>
  <c r="R20" i="1" s="1"/>
  <c r="X20" i="1"/>
  <c r="V20" i="1" s="1"/>
  <c r="H21" i="1"/>
  <c r="F21" i="1" s="1"/>
  <c r="L21" i="1"/>
  <c r="J21" i="1" s="1"/>
  <c r="T21" i="1"/>
  <c r="R21" i="1" s="1"/>
  <c r="X21" i="1"/>
  <c r="V21" i="1" s="1"/>
  <c r="H22" i="1"/>
  <c r="F22" i="1" s="1"/>
  <c r="L22" i="1"/>
  <c r="J22" i="1" s="1"/>
  <c r="P22" i="1"/>
  <c r="N22" i="1" s="1"/>
  <c r="T22" i="1"/>
  <c r="R22" i="1" s="1"/>
  <c r="X22" i="1"/>
  <c r="V22" i="1" s="1"/>
  <c r="H23" i="1"/>
  <c r="F23" i="1" s="1"/>
  <c r="L23" i="1"/>
  <c r="J23" i="1" s="1"/>
  <c r="P23" i="1"/>
  <c r="N23" i="1" s="1"/>
  <c r="T23" i="1"/>
  <c r="R23" i="1" s="1"/>
  <c r="X23" i="1"/>
  <c r="V23" i="1" s="1"/>
  <c r="H24" i="1"/>
  <c r="F24" i="1" s="1"/>
  <c r="L24" i="1"/>
  <c r="J24" i="1" s="1"/>
  <c r="T24" i="1"/>
  <c r="R24" i="1" s="1"/>
  <c r="X24" i="1"/>
  <c r="V24" i="1" s="1"/>
  <c r="H25" i="1"/>
  <c r="F25" i="1" s="1"/>
  <c r="L25" i="1"/>
  <c r="J25" i="1" s="1"/>
  <c r="T25" i="1"/>
  <c r="R25" i="1" s="1"/>
  <c r="X25" i="1"/>
  <c r="V25" i="1" s="1"/>
  <c r="H26" i="1"/>
  <c r="F26" i="1" s="1"/>
  <c r="L26" i="1"/>
  <c r="J26" i="1" s="1"/>
  <c r="P26" i="1"/>
  <c r="N26" i="1" s="1"/>
  <c r="T26" i="1"/>
  <c r="R26" i="1" s="1"/>
  <c r="X26" i="1"/>
  <c r="V26" i="1" s="1"/>
  <c r="H27" i="1"/>
  <c r="F27" i="1" s="1"/>
  <c r="L27" i="1"/>
  <c r="J27" i="1" s="1"/>
  <c r="P27" i="1"/>
  <c r="N27" i="1" s="1"/>
  <c r="T27" i="1"/>
  <c r="R27" i="1" s="1"/>
  <c r="X27" i="1"/>
  <c r="V27" i="1" s="1"/>
  <c r="H28" i="1"/>
  <c r="F28" i="1" s="1"/>
  <c r="L28" i="1"/>
  <c r="J28" i="1" s="1"/>
  <c r="T28" i="1"/>
  <c r="R28" i="1" s="1"/>
  <c r="X28" i="1"/>
  <c r="V28" i="1" s="1"/>
  <c r="H29" i="1"/>
  <c r="F29" i="1" s="1"/>
  <c r="L29" i="1"/>
  <c r="J29" i="1" s="1"/>
  <c r="T29" i="1"/>
  <c r="R29" i="1" s="1"/>
  <c r="X29" i="1"/>
  <c r="V29" i="1" s="1"/>
  <c r="H30" i="1"/>
  <c r="F30" i="1" s="1"/>
  <c r="L30" i="1"/>
  <c r="J30" i="1" s="1"/>
  <c r="P30" i="1"/>
  <c r="N30" i="1" s="1"/>
  <c r="T30" i="1"/>
  <c r="R30" i="1" s="1"/>
  <c r="X30" i="1"/>
  <c r="V30" i="1" s="1"/>
  <c r="H31" i="1"/>
  <c r="F31" i="1" s="1"/>
  <c r="L31" i="1"/>
  <c r="J31" i="1" s="1"/>
  <c r="P31" i="1"/>
  <c r="N31" i="1" s="1"/>
  <c r="T31" i="1"/>
  <c r="R31" i="1" s="1"/>
  <c r="X31" i="1"/>
  <c r="V31" i="1" s="1"/>
  <c r="H32" i="1"/>
  <c r="F32" i="1" s="1"/>
  <c r="L32" i="1"/>
  <c r="J32" i="1" s="1"/>
  <c r="T32" i="1"/>
  <c r="R32" i="1" s="1"/>
  <c r="X32" i="1"/>
  <c r="V32" i="1" s="1"/>
  <c r="H33" i="1"/>
  <c r="F33" i="1" s="1"/>
  <c r="L33" i="1"/>
  <c r="J33" i="1" s="1"/>
  <c r="T33" i="1"/>
  <c r="R33" i="1" s="1"/>
  <c r="X33" i="1"/>
  <c r="V33" i="1" s="1"/>
  <c r="H34" i="1"/>
  <c r="F34" i="1" s="1"/>
  <c r="L34" i="1"/>
  <c r="J34" i="1" s="1"/>
  <c r="P34" i="1"/>
  <c r="N34" i="1" s="1"/>
  <c r="T34" i="1"/>
  <c r="R34" i="1" s="1"/>
  <c r="X34" i="1"/>
  <c r="V34" i="1" s="1"/>
  <c r="H35" i="1"/>
  <c r="F35" i="1" s="1"/>
  <c r="L35" i="1"/>
  <c r="J35" i="1" s="1"/>
  <c r="P35" i="1"/>
  <c r="N35" i="1" s="1"/>
  <c r="T35" i="1"/>
  <c r="R35" i="1" s="1"/>
  <c r="X35" i="1"/>
  <c r="V35" i="1" s="1"/>
  <c r="H36" i="1"/>
  <c r="F36" i="1" s="1"/>
  <c r="L36" i="1"/>
  <c r="J36" i="1" s="1"/>
  <c r="P36" i="1"/>
  <c r="N36" i="1" s="1"/>
  <c r="T36" i="1"/>
  <c r="R36" i="1" s="1"/>
  <c r="X36" i="1"/>
  <c r="V36" i="1" s="1"/>
  <c r="H37" i="1"/>
  <c r="F37" i="1" s="1"/>
  <c r="L37" i="1"/>
  <c r="J37" i="1" s="1"/>
  <c r="P37" i="1"/>
  <c r="N37" i="1" s="1"/>
  <c r="T37" i="1"/>
  <c r="R37" i="1" s="1"/>
  <c r="X37" i="1"/>
  <c r="V37" i="1" s="1"/>
  <c r="H38" i="1"/>
  <c r="F38" i="1" s="1"/>
  <c r="L38" i="1"/>
  <c r="J38" i="1" s="1"/>
  <c r="P38" i="1"/>
  <c r="N38" i="1" s="1"/>
  <c r="T38" i="1"/>
  <c r="R38" i="1" s="1"/>
  <c r="X38" i="1"/>
  <c r="V38" i="1" s="1"/>
  <c r="H39" i="1"/>
  <c r="F39" i="1" s="1"/>
  <c r="L39" i="1"/>
  <c r="J39" i="1" s="1"/>
  <c r="P39" i="1"/>
  <c r="N39" i="1" s="1"/>
  <c r="T39" i="1"/>
  <c r="R39" i="1" s="1"/>
  <c r="X39" i="1"/>
  <c r="V39" i="1" s="1"/>
  <c r="H40" i="1"/>
  <c r="F40" i="1" s="1"/>
  <c r="L40" i="1"/>
  <c r="J40" i="1" s="1"/>
  <c r="P40" i="1"/>
  <c r="N40" i="1" s="1"/>
  <c r="T40" i="1"/>
  <c r="R40" i="1" s="1"/>
  <c r="X40" i="1"/>
  <c r="V40" i="1" s="1"/>
  <c r="H41" i="1"/>
  <c r="F41" i="1" s="1"/>
  <c r="L41" i="1"/>
  <c r="J41" i="1" s="1"/>
  <c r="T41" i="1"/>
  <c r="R41" i="1" s="1"/>
  <c r="X41" i="1"/>
  <c r="V41" i="1" s="1"/>
  <c r="H42" i="1"/>
  <c r="F42" i="1" s="1"/>
  <c r="L42" i="1"/>
  <c r="J42" i="1" s="1"/>
  <c r="P42" i="1"/>
  <c r="N42" i="1" s="1"/>
  <c r="T42" i="1"/>
  <c r="R42" i="1" s="1"/>
  <c r="X42" i="1"/>
  <c r="V42" i="1" s="1"/>
  <c r="H43" i="1"/>
  <c r="F43" i="1" s="1"/>
  <c r="L43" i="1"/>
  <c r="J43" i="1" s="1"/>
  <c r="P43" i="1"/>
  <c r="N43" i="1" s="1"/>
  <c r="T43" i="1"/>
  <c r="R43" i="1" s="1"/>
  <c r="X43" i="1"/>
  <c r="V43" i="1" s="1"/>
  <c r="H44" i="1"/>
  <c r="F44" i="1" s="1"/>
  <c r="L44" i="1"/>
  <c r="J44" i="1" s="1"/>
  <c r="T44" i="1"/>
  <c r="R44" i="1" s="1"/>
  <c r="X44" i="1"/>
  <c r="V44" i="1" s="1"/>
  <c r="H45" i="1"/>
  <c r="F45" i="1" s="1"/>
  <c r="L45" i="1"/>
  <c r="J45" i="1" s="1"/>
  <c r="T45" i="1"/>
  <c r="R45" i="1" s="1"/>
  <c r="X45" i="1"/>
  <c r="V45" i="1" s="1"/>
  <c r="H46" i="1"/>
  <c r="F46" i="1" s="1"/>
  <c r="L46" i="1"/>
  <c r="J46" i="1" s="1"/>
  <c r="P46" i="1"/>
  <c r="N46" i="1" s="1"/>
  <c r="T46" i="1"/>
  <c r="R46" i="1" s="1"/>
  <c r="X46" i="1"/>
  <c r="V46" i="1" s="1"/>
  <c r="H47" i="1"/>
  <c r="F47" i="1" s="1"/>
  <c r="L47" i="1"/>
  <c r="J47" i="1" s="1"/>
  <c r="P47" i="1"/>
  <c r="N47" i="1" s="1"/>
  <c r="T47" i="1"/>
  <c r="R47" i="1" s="1"/>
  <c r="V47" i="1"/>
  <c r="X47" i="1"/>
  <c r="H48" i="1"/>
  <c r="F48" i="1" s="1"/>
  <c r="L48" i="1"/>
  <c r="J48" i="1" s="1"/>
  <c r="P48" i="1"/>
  <c r="N48" i="1" s="1"/>
  <c r="T48" i="1"/>
  <c r="R48" i="1" s="1"/>
  <c r="X48" i="1"/>
  <c r="V48" i="1" s="1"/>
  <c r="H49" i="1"/>
  <c r="F49" i="1" s="1"/>
  <c r="L49" i="1"/>
  <c r="J49" i="1" s="1"/>
  <c r="P49" i="1"/>
  <c r="N49" i="1" s="1"/>
  <c r="T49" i="1"/>
  <c r="R49" i="1" s="1"/>
  <c r="X49" i="1"/>
  <c r="V49" i="1" s="1"/>
  <c r="H50" i="1"/>
  <c r="F50" i="1" s="1"/>
  <c r="L50" i="1"/>
  <c r="J50" i="1" s="1"/>
  <c r="P50" i="1"/>
  <c r="N50" i="1" s="1"/>
  <c r="T50" i="1"/>
  <c r="R50" i="1" s="1"/>
  <c r="X50" i="1"/>
  <c r="V50" i="1" s="1"/>
  <c r="H51" i="1"/>
  <c r="F51" i="1" s="1"/>
  <c r="L51" i="1"/>
  <c r="J51" i="1" s="1"/>
  <c r="P51" i="1"/>
  <c r="N51" i="1" s="1"/>
  <c r="T51" i="1"/>
  <c r="R51" i="1" s="1"/>
  <c r="X51" i="1"/>
  <c r="V51" i="1" s="1"/>
  <c r="H52" i="1"/>
  <c r="F52" i="1" s="1"/>
  <c r="L52" i="1"/>
  <c r="J52" i="1" s="1"/>
  <c r="T52" i="1"/>
  <c r="R52" i="1" s="1"/>
  <c r="X52" i="1"/>
  <c r="V52" i="1" s="1"/>
  <c r="H53" i="1"/>
  <c r="F53" i="1" s="1"/>
  <c r="L53" i="1"/>
  <c r="J53" i="1" s="1"/>
  <c r="T53" i="1"/>
  <c r="R53" i="1" s="1"/>
  <c r="X53" i="1"/>
  <c r="V53" i="1" s="1"/>
  <c r="H54" i="1"/>
  <c r="F54" i="1" s="1"/>
  <c r="L54" i="1"/>
  <c r="J54" i="1" s="1"/>
  <c r="P54" i="1"/>
  <c r="N54" i="1" s="1"/>
  <c r="T54" i="1"/>
  <c r="R54" i="1" s="1"/>
  <c r="X54" i="1"/>
  <c r="V54" i="1" s="1"/>
  <c r="H55" i="1"/>
  <c r="F55" i="1" s="1"/>
  <c r="L55" i="1"/>
  <c r="J55" i="1" s="1"/>
  <c r="P55" i="1"/>
  <c r="T55" i="1"/>
  <c r="R55" i="1" s="1"/>
  <c r="X55" i="1"/>
  <c r="V55" i="1" s="1"/>
  <c r="H56" i="1"/>
  <c r="F56" i="1" s="1"/>
  <c r="L56" i="1"/>
  <c r="J56" i="1" s="1"/>
  <c r="P56" i="1"/>
  <c r="N56" i="1" s="1"/>
  <c r="T56" i="1"/>
  <c r="R56" i="1" s="1"/>
  <c r="X56" i="1"/>
  <c r="V56" i="1" s="1"/>
  <c r="H57" i="1"/>
  <c r="F57" i="1" s="1"/>
  <c r="L57" i="1"/>
  <c r="J57" i="1" s="1"/>
  <c r="T57" i="1"/>
  <c r="X57" i="1"/>
  <c r="V57" i="1" s="1"/>
  <c r="H58" i="1"/>
  <c r="F58" i="1" s="1"/>
  <c r="L58" i="1"/>
  <c r="J58" i="1" s="1"/>
  <c r="P58" i="1"/>
  <c r="N58" i="1" s="1"/>
  <c r="T58" i="1"/>
  <c r="R58" i="1" s="1"/>
  <c r="X58" i="1"/>
  <c r="V58" i="1" s="1"/>
  <c r="H59" i="1"/>
  <c r="F59" i="1" s="1"/>
  <c r="L59" i="1"/>
  <c r="J59" i="1" s="1"/>
  <c r="P59" i="1"/>
  <c r="N59" i="1" s="1"/>
  <c r="T59" i="1"/>
  <c r="R59" i="1" s="1"/>
  <c r="X59" i="1"/>
  <c r="V59" i="1" s="1"/>
  <c r="H60" i="1"/>
  <c r="F60" i="1" s="1"/>
  <c r="L60" i="1"/>
  <c r="J60" i="1" s="1"/>
  <c r="P60" i="1"/>
  <c r="N60" i="1" s="1"/>
  <c r="T60" i="1"/>
  <c r="R60" i="1" s="1"/>
  <c r="X60" i="1"/>
  <c r="V60" i="1" s="1"/>
  <c r="H61" i="1"/>
  <c r="F61" i="1" s="1"/>
  <c r="L61" i="1"/>
  <c r="J61" i="1" s="1"/>
  <c r="P61" i="1"/>
  <c r="N61" i="1" s="1"/>
  <c r="T61" i="1"/>
  <c r="R61" i="1" s="1"/>
  <c r="X61" i="1"/>
  <c r="V61" i="1" s="1"/>
  <c r="H62" i="1"/>
  <c r="F62" i="1" s="1"/>
  <c r="L62" i="1"/>
  <c r="J62" i="1" s="1"/>
  <c r="P62" i="1"/>
  <c r="N62" i="1" s="1"/>
  <c r="T62" i="1"/>
  <c r="R62" i="1" s="1"/>
  <c r="X62" i="1"/>
  <c r="V62" i="1" s="1"/>
  <c r="H63" i="1"/>
  <c r="F63" i="1" s="1"/>
  <c r="L63" i="1"/>
  <c r="J63" i="1" s="1"/>
  <c r="P63" i="1"/>
  <c r="N63" i="1" s="1"/>
  <c r="T63" i="1"/>
  <c r="R63" i="1" s="1"/>
  <c r="X63" i="1"/>
  <c r="V63" i="1" s="1"/>
  <c r="H64" i="1"/>
  <c r="F64" i="1" s="1"/>
  <c r="L64" i="1"/>
  <c r="J64" i="1" s="1"/>
  <c r="T64" i="1"/>
  <c r="R64" i="1" s="1"/>
  <c r="X64" i="1"/>
  <c r="V64" i="1" s="1"/>
  <c r="H65" i="1"/>
  <c r="F65" i="1" s="1"/>
  <c r="L65" i="1"/>
  <c r="J65" i="1" s="1"/>
  <c r="T65" i="1"/>
  <c r="R65" i="1" s="1"/>
  <c r="X65" i="1"/>
  <c r="V65" i="1" s="1"/>
  <c r="H66" i="1"/>
  <c r="F66" i="1" s="1"/>
  <c r="L66" i="1"/>
  <c r="J66" i="1" s="1"/>
  <c r="P66" i="1"/>
  <c r="N66" i="1" s="1"/>
  <c r="T66" i="1"/>
  <c r="R66" i="1" s="1"/>
  <c r="X66" i="1"/>
  <c r="V66" i="1" s="1"/>
  <c r="H67" i="1"/>
  <c r="F67" i="1" s="1"/>
  <c r="L67" i="1"/>
  <c r="J67" i="1" s="1"/>
  <c r="P67" i="1"/>
  <c r="N67" i="1" s="1"/>
  <c r="T67" i="1"/>
  <c r="R67" i="1" s="1"/>
  <c r="X67" i="1"/>
  <c r="V67" i="1" s="1"/>
  <c r="H68" i="1"/>
  <c r="F68" i="1" s="1"/>
  <c r="L68" i="1"/>
  <c r="J68" i="1" s="1"/>
  <c r="T68" i="1"/>
  <c r="R68" i="1" s="1"/>
  <c r="X68" i="1"/>
  <c r="V68" i="1" s="1"/>
  <c r="H69" i="1"/>
  <c r="F69" i="1" s="1"/>
  <c r="L69" i="1"/>
  <c r="J69" i="1" s="1"/>
  <c r="T69" i="1"/>
  <c r="R69" i="1" s="1"/>
  <c r="X69" i="1"/>
  <c r="V69" i="1" s="1"/>
  <c r="H70" i="1"/>
  <c r="F70" i="1" s="1"/>
  <c r="L70" i="1"/>
  <c r="J70" i="1" s="1"/>
  <c r="P70" i="1"/>
  <c r="N70" i="1" s="1"/>
  <c r="T70" i="1"/>
  <c r="R70" i="1" s="1"/>
  <c r="X70" i="1"/>
  <c r="V70" i="1" s="1"/>
  <c r="H71" i="1"/>
  <c r="F71" i="1" s="1"/>
  <c r="L71" i="1"/>
  <c r="J71" i="1" s="1"/>
  <c r="P71" i="1"/>
  <c r="N71" i="1" s="1"/>
  <c r="T71" i="1"/>
  <c r="R71" i="1" s="1"/>
  <c r="X71" i="1"/>
  <c r="V71" i="1" s="1"/>
  <c r="H72" i="1"/>
  <c r="F72" i="1" s="1"/>
  <c r="L72" i="1"/>
  <c r="J72" i="1" s="1"/>
  <c r="T72" i="1"/>
  <c r="R72" i="1" s="1"/>
  <c r="X72" i="1"/>
  <c r="V72" i="1" s="1"/>
  <c r="H73" i="1"/>
  <c r="F73" i="1" s="1"/>
  <c r="L73" i="1"/>
  <c r="J73" i="1" s="1"/>
  <c r="T73" i="1"/>
  <c r="R73" i="1" s="1"/>
  <c r="X73" i="1"/>
  <c r="V73" i="1" s="1"/>
  <c r="H74" i="1"/>
  <c r="F74" i="1" s="1"/>
  <c r="L74" i="1"/>
  <c r="J74" i="1" s="1"/>
  <c r="P74" i="1"/>
  <c r="N74" i="1" s="1"/>
  <c r="T74" i="1"/>
  <c r="R74" i="1" s="1"/>
  <c r="X74" i="1"/>
  <c r="V74" i="1" s="1"/>
  <c r="H75" i="1"/>
  <c r="F75" i="1" s="1"/>
  <c r="L75" i="1"/>
  <c r="J75" i="1" s="1"/>
  <c r="P75" i="1"/>
  <c r="N75" i="1" s="1"/>
  <c r="T75" i="1"/>
  <c r="R75" i="1" s="1"/>
  <c r="X75" i="1"/>
  <c r="V75" i="1" s="1"/>
  <c r="H76" i="1"/>
  <c r="F76" i="1" s="1"/>
  <c r="L76" i="1"/>
  <c r="J76" i="1" s="1"/>
  <c r="T76" i="1"/>
  <c r="R76" i="1" s="1"/>
  <c r="X76" i="1"/>
  <c r="V76" i="1" s="1"/>
  <c r="H77" i="1"/>
  <c r="F77" i="1" s="1"/>
  <c r="L77" i="1"/>
  <c r="J77" i="1" s="1"/>
  <c r="T77" i="1"/>
  <c r="R77" i="1" s="1"/>
  <c r="X77" i="1"/>
  <c r="V77" i="1" s="1"/>
  <c r="H78" i="1"/>
  <c r="F78" i="1" s="1"/>
  <c r="L78" i="1"/>
  <c r="J78" i="1" s="1"/>
  <c r="P78" i="1"/>
  <c r="N78" i="1" s="1"/>
  <c r="T78" i="1"/>
  <c r="R78" i="1" s="1"/>
  <c r="X78" i="1"/>
  <c r="V78" i="1" s="1"/>
  <c r="H79" i="1"/>
  <c r="F79" i="1" s="1"/>
  <c r="L79" i="1"/>
  <c r="J79" i="1" s="1"/>
  <c r="P79" i="1"/>
  <c r="N79" i="1" s="1"/>
  <c r="T79" i="1"/>
  <c r="R79" i="1" s="1"/>
  <c r="X79" i="1"/>
  <c r="V79" i="1" s="1"/>
  <c r="H80" i="1"/>
  <c r="F80" i="1" s="1"/>
  <c r="L80" i="1"/>
  <c r="J80" i="1" s="1"/>
  <c r="T80" i="1"/>
  <c r="R80" i="1" s="1"/>
  <c r="X80" i="1"/>
  <c r="V80" i="1" s="1"/>
  <c r="H81" i="1"/>
  <c r="F81" i="1" s="1"/>
  <c r="L81" i="1"/>
  <c r="J81" i="1" s="1"/>
  <c r="T81" i="1"/>
  <c r="R81" i="1" s="1"/>
  <c r="X81" i="1"/>
  <c r="V81" i="1" s="1"/>
  <c r="H82" i="1"/>
  <c r="F82" i="1" s="1"/>
  <c r="L82" i="1"/>
  <c r="J82" i="1" s="1"/>
  <c r="P82" i="1"/>
  <c r="N82" i="1" s="1"/>
  <c r="T82" i="1"/>
  <c r="R82" i="1" s="1"/>
  <c r="X82" i="1"/>
  <c r="V82" i="1" s="1"/>
  <c r="H83" i="1"/>
  <c r="F83" i="1" s="1"/>
  <c r="L83" i="1"/>
  <c r="J83" i="1" s="1"/>
  <c r="P83" i="1"/>
  <c r="N83" i="1" s="1"/>
  <c r="T83" i="1"/>
  <c r="R83" i="1" s="1"/>
  <c r="X83" i="1"/>
  <c r="V83" i="1" s="1"/>
  <c r="H84" i="1"/>
  <c r="F84" i="1" s="1"/>
  <c r="L84" i="1"/>
  <c r="J84" i="1" s="1"/>
  <c r="T84" i="1"/>
  <c r="R84" i="1" s="1"/>
  <c r="X84" i="1"/>
  <c r="V84" i="1" s="1"/>
  <c r="H85" i="1"/>
  <c r="F85" i="1" s="1"/>
  <c r="L85" i="1"/>
  <c r="J85" i="1" s="1"/>
  <c r="T85" i="1"/>
  <c r="R85" i="1" s="1"/>
  <c r="X85" i="1"/>
  <c r="V85" i="1" s="1"/>
  <c r="H86" i="1"/>
  <c r="F86" i="1" s="1"/>
  <c r="L86" i="1"/>
  <c r="J86" i="1" s="1"/>
  <c r="P86" i="1"/>
  <c r="N86" i="1" s="1"/>
  <c r="T86" i="1"/>
  <c r="R86" i="1" s="1"/>
  <c r="X86" i="1"/>
  <c r="V86" i="1" s="1"/>
  <c r="H87" i="1"/>
  <c r="F87" i="1" s="1"/>
  <c r="L87" i="1"/>
  <c r="J87" i="1" s="1"/>
  <c r="P87" i="1"/>
  <c r="N87" i="1" s="1"/>
  <c r="T87" i="1"/>
  <c r="R87" i="1" s="1"/>
  <c r="X87" i="1"/>
  <c r="V87" i="1" s="1"/>
  <c r="H88" i="1"/>
  <c r="F88" i="1" s="1"/>
  <c r="L88" i="1"/>
  <c r="J88" i="1" s="1"/>
  <c r="T88" i="1"/>
  <c r="R88" i="1" s="1"/>
  <c r="X88" i="1"/>
  <c r="V88" i="1" s="1"/>
  <c r="H89" i="1"/>
  <c r="F89" i="1" s="1"/>
  <c r="L89" i="1"/>
  <c r="J89" i="1" s="1"/>
  <c r="T89" i="1"/>
  <c r="R89" i="1" s="1"/>
  <c r="X89" i="1"/>
  <c r="V89" i="1" s="1"/>
  <c r="H90" i="1"/>
  <c r="F90" i="1" s="1"/>
  <c r="L90" i="1"/>
  <c r="J90" i="1" s="1"/>
  <c r="P90" i="1"/>
  <c r="N90" i="1" s="1"/>
  <c r="T90" i="1"/>
  <c r="R90" i="1" s="1"/>
  <c r="X90" i="1"/>
  <c r="V90" i="1" s="1"/>
  <c r="H91" i="1"/>
  <c r="F91" i="1" s="1"/>
  <c r="L91" i="1"/>
  <c r="J91" i="1" s="1"/>
  <c r="P91" i="1"/>
  <c r="N91" i="1" s="1"/>
  <c r="T91" i="1"/>
  <c r="R91" i="1" s="1"/>
  <c r="X91" i="1"/>
  <c r="V91" i="1" s="1"/>
  <c r="H92" i="1"/>
  <c r="F92" i="1" s="1"/>
  <c r="L92" i="1"/>
  <c r="J92" i="1" s="1"/>
  <c r="T92" i="1"/>
  <c r="R92" i="1" s="1"/>
  <c r="X92" i="1"/>
  <c r="V92" i="1" s="1"/>
  <c r="H93" i="1"/>
  <c r="F93" i="1" s="1"/>
  <c r="L93" i="1"/>
  <c r="J93" i="1" s="1"/>
  <c r="T93" i="1"/>
  <c r="R93" i="1" s="1"/>
  <c r="X93" i="1"/>
  <c r="V93" i="1" s="1"/>
  <c r="H94" i="1"/>
  <c r="F94" i="1" s="1"/>
  <c r="L94" i="1"/>
  <c r="J94" i="1" s="1"/>
  <c r="P94" i="1"/>
  <c r="N94" i="1" s="1"/>
  <c r="T94" i="1"/>
  <c r="R94" i="1" s="1"/>
  <c r="X94" i="1"/>
  <c r="V94" i="1" s="1"/>
  <c r="H95" i="1"/>
  <c r="F95" i="1" s="1"/>
  <c r="L95" i="1"/>
  <c r="J95" i="1" s="1"/>
  <c r="P95" i="1"/>
  <c r="N95" i="1" s="1"/>
  <c r="T95" i="1"/>
  <c r="R95" i="1" s="1"/>
  <c r="X95" i="1"/>
  <c r="V95" i="1" s="1"/>
  <c r="H96" i="1"/>
  <c r="F96" i="1" s="1"/>
  <c r="L96" i="1"/>
  <c r="J96" i="1" s="1"/>
  <c r="T96" i="1"/>
  <c r="R96" i="1" s="1"/>
  <c r="X96" i="1"/>
  <c r="V96" i="1" s="1"/>
  <c r="H97" i="1"/>
  <c r="F97" i="1" s="1"/>
  <c r="L97" i="1"/>
  <c r="J97" i="1" s="1"/>
  <c r="P97" i="1"/>
  <c r="N97" i="1" s="1"/>
  <c r="T97" i="1"/>
  <c r="R97" i="1" s="1"/>
  <c r="X97" i="1"/>
  <c r="V97" i="1" s="1"/>
  <c r="H98" i="1"/>
  <c r="F98" i="1" s="1"/>
  <c r="L98" i="1"/>
  <c r="J98" i="1" s="1"/>
  <c r="P98" i="1"/>
  <c r="N98" i="1" s="1"/>
  <c r="T98" i="1"/>
  <c r="R98" i="1" s="1"/>
  <c r="X98" i="1"/>
  <c r="V98" i="1" s="1"/>
  <c r="H99" i="1"/>
  <c r="F99" i="1" s="1"/>
  <c r="L99" i="1"/>
  <c r="J99" i="1" s="1"/>
  <c r="P99" i="1"/>
  <c r="N99" i="1" s="1"/>
  <c r="T99" i="1"/>
  <c r="R99" i="1" s="1"/>
  <c r="X99" i="1"/>
  <c r="V99" i="1" s="1"/>
  <c r="H100" i="1"/>
  <c r="F100" i="1" s="1"/>
  <c r="L100" i="1"/>
  <c r="T100" i="1"/>
  <c r="R100" i="1" s="1"/>
  <c r="X100" i="1"/>
  <c r="V100" i="1" s="1"/>
  <c r="H101" i="1"/>
  <c r="F101" i="1" s="1"/>
  <c r="L101" i="1"/>
  <c r="J101" i="1" s="1"/>
  <c r="T101" i="1"/>
  <c r="R101" i="1" s="1"/>
  <c r="X101" i="1"/>
  <c r="V101" i="1" s="1"/>
  <c r="H102" i="1"/>
  <c r="F102" i="1" s="1"/>
  <c r="L102" i="1"/>
  <c r="J102" i="1" s="1"/>
  <c r="P102" i="1"/>
  <c r="N102" i="1" s="1"/>
  <c r="T102" i="1"/>
  <c r="R102" i="1" s="1"/>
  <c r="X102" i="1"/>
  <c r="V102" i="1" s="1"/>
  <c r="H103" i="1"/>
  <c r="F103" i="1" s="1"/>
  <c r="L103" i="1"/>
  <c r="J103" i="1" s="1"/>
  <c r="P103" i="1"/>
  <c r="N103" i="1" s="1"/>
  <c r="T103" i="1"/>
  <c r="R103" i="1" s="1"/>
  <c r="X103" i="1"/>
  <c r="V103" i="1" s="1"/>
  <c r="H104" i="1"/>
  <c r="F104" i="1" s="1"/>
  <c r="L104" i="1"/>
  <c r="J104" i="1" s="1"/>
  <c r="T104" i="1"/>
  <c r="R104" i="1" s="1"/>
  <c r="X104" i="1"/>
  <c r="V104" i="1" s="1"/>
  <c r="H105" i="1"/>
  <c r="F105" i="1" s="1"/>
  <c r="L105" i="1"/>
  <c r="J105" i="1" s="1"/>
  <c r="T105" i="1"/>
  <c r="R105" i="1" s="1"/>
  <c r="X105" i="1"/>
  <c r="V105" i="1" s="1"/>
  <c r="H106" i="1"/>
  <c r="F106" i="1" s="1"/>
  <c r="L106" i="1"/>
  <c r="J106" i="1" s="1"/>
  <c r="P106" i="1"/>
  <c r="N106" i="1" s="1"/>
  <c r="T106" i="1"/>
  <c r="R106" i="1" s="1"/>
  <c r="X106" i="1"/>
  <c r="V106" i="1" s="1"/>
  <c r="H107" i="1"/>
  <c r="F107" i="1" s="1"/>
  <c r="L107" i="1"/>
  <c r="J107" i="1" s="1"/>
  <c r="P107" i="1"/>
  <c r="N107" i="1" s="1"/>
  <c r="T107" i="1"/>
  <c r="R107" i="1" s="1"/>
  <c r="X107" i="1"/>
  <c r="V107" i="1" s="1"/>
  <c r="H108" i="1"/>
  <c r="F108" i="1" s="1"/>
  <c r="L108" i="1"/>
  <c r="J108" i="1" s="1"/>
  <c r="T108" i="1"/>
  <c r="R108" i="1" s="1"/>
  <c r="X108" i="1"/>
  <c r="V108" i="1" s="1"/>
  <c r="H109" i="1"/>
  <c r="F109" i="1" s="1"/>
  <c r="L109" i="1"/>
  <c r="J109" i="1" s="1"/>
  <c r="T109" i="1"/>
  <c r="R109" i="1" s="1"/>
  <c r="X109" i="1"/>
  <c r="V109" i="1" s="1"/>
  <c r="H110" i="1"/>
  <c r="F110" i="1" s="1"/>
  <c r="L110" i="1"/>
  <c r="J110" i="1" s="1"/>
  <c r="P110" i="1"/>
  <c r="N110" i="1" s="1"/>
  <c r="T110" i="1"/>
  <c r="R110" i="1" s="1"/>
  <c r="X110" i="1"/>
  <c r="V110" i="1" s="1"/>
  <c r="H111" i="1"/>
  <c r="F111" i="1" s="1"/>
  <c r="L111" i="1"/>
  <c r="J111" i="1" s="1"/>
  <c r="P111" i="1"/>
  <c r="N111" i="1" s="1"/>
  <c r="T111" i="1"/>
  <c r="R111" i="1" s="1"/>
  <c r="X111" i="1"/>
  <c r="V111" i="1" s="1"/>
  <c r="H112" i="1"/>
  <c r="F112" i="1" s="1"/>
  <c r="L112" i="1"/>
  <c r="J112" i="1" s="1"/>
  <c r="T112" i="1"/>
  <c r="R112" i="1" s="1"/>
  <c r="X112" i="1"/>
  <c r="V112" i="1" s="1"/>
  <c r="H113" i="1"/>
  <c r="F113" i="1" s="1"/>
  <c r="L113" i="1"/>
  <c r="J113" i="1" s="1"/>
  <c r="T113" i="1"/>
  <c r="R113" i="1" s="1"/>
  <c r="X113" i="1"/>
  <c r="V113" i="1" s="1"/>
  <c r="L114" i="1" l="1"/>
  <c r="K5" i="3"/>
  <c r="K62" i="3"/>
  <c r="K7" i="3"/>
  <c r="K60" i="3"/>
  <c r="K30" i="3"/>
  <c r="K90" i="3"/>
  <c r="X114" i="1"/>
  <c r="K32" i="3"/>
  <c r="K88" i="3"/>
  <c r="K94" i="3"/>
  <c r="K27" i="3"/>
  <c r="K85" i="3"/>
  <c r="K107" i="3"/>
  <c r="K97" i="3"/>
  <c r="K74" i="3"/>
  <c r="K26" i="3"/>
  <c r="K29" i="3"/>
  <c r="K43" i="3"/>
  <c r="K78" i="3"/>
  <c r="H114" i="1"/>
  <c r="K44" i="3"/>
  <c r="K23" i="3"/>
  <c r="K34" i="3"/>
  <c r="K66" i="3"/>
  <c r="K98" i="3"/>
  <c r="K91" i="3"/>
  <c r="K19" i="3"/>
  <c r="K75" i="3"/>
  <c r="K38" i="3"/>
  <c r="K54" i="3"/>
  <c r="K70" i="3"/>
  <c r="K86" i="3"/>
  <c r="K102" i="3"/>
  <c r="K114" i="3"/>
  <c r="K50" i="3"/>
  <c r="K82" i="3"/>
  <c r="K95" i="3"/>
  <c r="AC91" i="3"/>
  <c r="AC115" i="3" s="1"/>
  <c r="K16" i="3"/>
  <c r="K83" i="3"/>
  <c r="K71" i="3"/>
  <c r="K103" i="3"/>
  <c r="K8" i="3"/>
  <c r="K24" i="3"/>
  <c r="K111" i="3"/>
  <c r="K31" i="3"/>
  <c r="K47" i="3"/>
  <c r="K63" i="3"/>
  <c r="K87" i="3"/>
  <c r="K79" i="3"/>
  <c r="K4" i="3"/>
  <c r="K20" i="3"/>
  <c r="T115" i="3"/>
  <c r="K67" i="3"/>
  <c r="K35" i="3"/>
  <c r="K51" i="3"/>
  <c r="K39" i="3"/>
  <c r="K55" i="3"/>
  <c r="K99" i="3"/>
  <c r="J115" i="3"/>
  <c r="K3" i="3"/>
  <c r="S115" i="3"/>
  <c r="AB115" i="3"/>
  <c r="R57" i="1"/>
  <c r="T114" i="1"/>
  <c r="N55" i="1"/>
  <c r="N114" i="1" s="1"/>
  <c r="P114" i="1"/>
  <c r="R114" i="1"/>
  <c r="F114" i="1"/>
  <c r="V114" i="1"/>
  <c r="J100" i="1"/>
  <c r="J114" i="1" s="1"/>
  <c r="U310" i="2"/>
  <c r="U31" i="2"/>
  <c r="U309" i="2"/>
  <c r="U308" i="2"/>
  <c r="U307" i="2"/>
  <c r="U306" i="2"/>
  <c r="U305" i="2"/>
  <c r="U304" i="2"/>
  <c r="U303" i="2"/>
  <c r="U302" i="2"/>
  <c r="U301" i="2"/>
  <c r="U300" i="2"/>
  <c r="U30" i="2"/>
  <c r="U299" i="2"/>
  <c r="U298" i="2"/>
  <c r="U297" i="2"/>
  <c r="U296" i="2"/>
  <c r="U295" i="2"/>
  <c r="U294" i="2"/>
  <c r="U293" i="2"/>
  <c r="U292" i="2"/>
  <c r="U291" i="2"/>
  <c r="U290" i="2"/>
  <c r="U29" i="2"/>
  <c r="U289" i="2"/>
  <c r="U288" i="2"/>
  <c r="U287" i="2"/>
  <c r="U286" i="2"/>
  <c r="U285" i="2"/>
  <c r="U284" i="2"/>
  <c r="U283" i="2"/>
  <c r="U282" i="2"/>
  <c r="U281" i="2"/>
  <c r="U28" i="2"/>
  <c r="U166" i="2"/>
  <c r="U165" i="2"/>
  <c r="U164" i="2"/>
  <c r="U163" i="2"/>
  <c r="U162" i="2"/>
  <c r="U161" i="2"/>
  <c r="U27" i="2"/>
  <c r="U160" i="2"/>
  <c r="U159" i="2"/>
  <c r="U158" i="2"/>
  <c r="U157" i="2"/>
  <c r="U156" i="2"/>
  <c r="U155" i="2"/>
  <c r="U154" i="2"/>
  <c r="U153" i="2"/>
  <c r="U152" i="2"/>
  <c r="U151" i="2"/>
  <c r="U26" i="2"/>
  <c r="U150" i="2"/>
  <c r="U149" i="2"/>
  <c r="U148" i="2"/>
  <c r="U147" i="2"/>
  <c r="U146" i="2"/>
  <c r="U145" i="2"/>
  <c r="U144" i="2"/>
  <c r="U143" i="2"/>
  <c r="U142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U426" i="2"/>
  <c r="U141" i="2"/>
  <c r="U425" i="2"/>
  <c r="U424" i="2"/>
  <c r="U423" i="2"/>
  <c r="U422" i="2"/>
  <c r="U421" i="2"/>
  <c r="U420" i="2"/>
  <c r="U419" i="2"/>
  <c r="U418" i="2"/>
  <c r="U417" i="2"/>
  <c r="U416" i="2"/>
  <c r="U140" i="2"/>
  <c r="U415" i="2"/>
  <c r="U414" i="2"/>
  <c r="U413" i="2"/>
  <c r="U412" i="2"/>
  <c r="U411" i="2"/>
  <c r="U410" i="2"/>
  <c r="U409" i="2"/>
  <c r="U408" i="2"/>
  <c r="U407" i="2"/>
  <c r="U406" i="2"/>
  <c r="U139" i="2"/>
  <c r="U405" i="2"/>
  <c r="U404" i="2"/>
  <c r="U403" i="2"/>
  <c r="U402" i="2"/>
  <c r="U280" i="2"/>
  <c r="U138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400" i="2"/>
  <c r="U116" i="2"/>
  <c r="U399" i="2"/>
  <c r="U398" i="2"/>
  <c r="U397" i="2"/>
  <c r="U396" i="2"/>
  <c r="U395" i="2"/>
  <c r="U394" i="2"/>
  <c r="U393" i="2"/>
  <c r="U392" i="2"/>
  <c r="U391" i="2"/>
  <c r="U390" i="2"/>
  <c r="U115" i="2"/>
  <c r="U389" i="2"/>
  <c r="U388" i="2"/>
  <c r="U387" i="2"/>
  <c r="U386" i="2"/>
  <c r="U385" i="2"/>
  <c r="U384" i="2"/>
  <c r="U383" i="2"/>
  <c r="U382" i="2"/>
  <c r="U381" i="2"/>
  <c r="U380" i="2"/>
  <c r="U114" i="2"/>
  <c r="U379" i="2"/>
  <c r="U378" i="2"/>
  <c r="U377" i="2"/>
  <c r="U376" i="2"/>
  <c r="U375" i="2"/>
  <c r="U374" i="2"/>
  <c r="U373" i="2"/>
  <c r="U372" i="2"/>
  <c r="U371" i="2"/>
  <c r="U255" i="2"/>
  <c r="U113" i="2"/>
  <c r="U254" i="2"/>
  <c r="U253" i="2"/>
  <c r="U252" i="2"/>
  <c r="U251" i="2"/>
  <c r="U250" i="2"/>
  <c r="U249" i="2"/>
  <c r="U248" i="2"/>
  <c r="U247" i="2"/>
  <c r="U246" i="2"/>
  <c r="U245" i="2"/>
  <c r="U112" i="2"/>
  <c r="U244" i="2"/>
  <c r="U243" i="2"/>
  <c r="U242" i="2"/>
  <c r="U241" i="2"/>
  <c r="U240" i="2"/>
  <c r="U239" i="2"/>
  <c r="U238" i="2"/>
  <c r="U237" i="2"/>
  <c r="U236" i="2"/>
  <c r="U235" i="2"/>
  <c r="U111" i="2"/>
  <c r="U234" i="2"/>
  <c r="U233" i="2"/>
  <c r="U232" i="2"/>
  <c r="U231" i="2"/>
  <c r="U230" i="2"/>
  <c r="U229" i="2"/>
  <c r="U228" i="2"/>
  <c r="U227" i="2"/>
  <c r="U226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370" i="2"/>
  <c r="U86" i="2"/>
  <c r="U369" i="2"/>
  <c r="U368" i="2"/>
  <c r="U367" i="2"/>
  <c r="U366" i="2"/>
  <c r="U365" i="2"/>
  <c r="U364" i="2"/>
  <c r="U363" i="2"/>
  <c r="U362" i="2"/>
  <c r="U361" i="2"/>
  <c r="U360" i="2"/>
  <c r="U85" i="2"/>
  <c r="U359" i="2"/>
  <c r="U358" i="2"/>
  <c r="U357" i="2"/>
  <c r="U356" i="2"/>
  <c r="U355" i="2"/>
  <c r="U354" i="2"/>
  <c r="U353" i="2"/>
  <c r="U352" i="2"/>
  <c r="U351" i="2"/>
  <c r="U350" i="2"/>
  <c r="U84" i="2"/>
  <c r="U349" i="2"/>
  <c r="U348" i="2"/>
  <c r="U347" i="2"/>
  <c r="U346" i="2"/>
  <c r="U345" i="2"/>
  <c r="U344" i="2"/>
  <c r="U343" i="2"/>
  <c r="U342" i="2"/>
  <c r="U341" i="2"/>
  <c r="U225" i="2"/>
  <c r="U83" i="2"/>
  <c r="U224" i="2"/>
  <c r="U223" i="2"/>
  <c r="U222" i="2"/>
  <c r="U221" i="2"/>
  <c r="U220" i="2"/>
  <c r="U219" i="2"/>
  <c r="U218" i="2"/>
  <c r="U217" i="2"/>
  <c r="U216" i="2"/>
  <c r="U215" i="2"/>
  <c r="U82" i="2"/>
  <c r="U214" i="2"/>
  <c r="U213" i="2"/>
  <c r="U212" i="2"/>
  <c r="U211" i="2"/>
  <c r="U210" i="2"/>
  <c r="U209" i="2"/>
  <c r="U208" i="2"/>
  <c r="U207" i="2"/>
  <c r="U206" i="2"/>
  <c r="U205" i="2"/>
  <c r="U81" i="2"/>
  <c r="U204" i="2"/>
  <c r="U203" i="2"/>
  <c r="U202" i="2"/>
  <c r="U201" i="2"/>
  <c r="U200" i="2"/>
  <c r="U199" i="2"/>
  <c r="U198" i="2"/>
  <c r="U197" i="2"/>
  <c r="U196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340" i="2"/>
  <c r="U56" i="2"/>
  <c r="U339" i="2"/>
  <c r="U338" i="2"/>
  <c r="U337" i="2"/>
  <c r="U336" i="2"/>
  <c r="U335" i="2"/>
  <c r="U334" i="2"/>
  <c r="U333" i="2"/>
  <c r="U332" i="2"/>
  <c r="U331" i="2"/>
  <c r="U330" i="2"/>
  <c r="U55" i="2"/>
  <c r="U329" i="2"/>
  <c r="U328" i="2"/>
  <c r="U327" i="2"/>
  <c r="U326" i="2"/>
  <c r="U325" i="2"/>
  <c r="U324" i="2"/>
  <c r="U323" i="2"/>
  <c r="U322" i="2"/>
  <c r="U321" i="2"/>
  <c r="U320" i="2"/>
  <c r="U54" i="2"/>
  <c r="U319" i="2"/>
  <c r="U318" i="2"/>
  <c r="U317" i="2"/>
  <c r="U316" i="2"/>
  <c r="U315" i="2"/>
  <c r="U314" i="2"/>
  <c r="U313" i="2"/>
  <c r="U312" i="2"/>
  <c r="U311" i="2"/>
  <c r="U195" i="2"/>
  <c r="U53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68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P310" i="2"/>
  <c r="P31" i="2"/>
  <c r="P309" i="2"/>
  <c r="P308" i="2"/>
  <c r="P307" i="2"/>
  <c r="P306" i="2"/>
  <c r="P305" i="2"/>
  <c r="P304" i="2"/>
  <c r="P303" i="2"/>
  <c r="P302" i="2"/>
  <c r="P301" i="2"/>
  <c r="P300" i="2"/>
  <c r="P30" i="2"/>
  <c r="P299" i="2"/>
  <c r="P298" i="2"/>
  <c r="P297" i="2"/>
  <c r="P296" i="2"/>
  <c r="P295" i="2"/>
  <c r="P294" i="2"/>
  <c r="P293" i="2"/>
  <c r="P292" i="2"/>
  <c r="P291" i="2"/>
  <c r="P290" i="2"/>
  <c r="P29" i="2"/>
  <c r="P289" i="2"/>
  <c r="P288" i="2"/>
  <c r="P286" i="2"/>
  <c r="P285" i="2"/>
  <c r="P28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4" i="2"/>
  <c r="P142" i="2"/>
  <c r="P25" i="2"/>
  <c r="P23" i="2"/>
  <c r="P22" i="2"/>
  <c r="P21" i="2"/>
  <c r="P20" i="2"/>
  <c r="P19" i="2"/>
  <c r="P18" i="2"/>
  <c r="P17" i="2"/>
  <c r="P16" i="2"/>
  <c r="P15" i="2"/>
  <c r="P14" i="2"/>
  <c r="P12" i="2"/>
  <c r="P11" i="2"/>
  <c r="P10" i="2"/>
  <c r="P9" i="2"/>
  <c r="P8" i="2"/>
  <c r="P7" i="2"/>
  <c r="P6" i="2"/>
  <c r="P5" i="2"/>
  <c r="P4" i="2"/>
  <c r="P3" i="2"/>
  <c r="P426" i="2"/>
  <c r="P141" i="2"/>
  <c r="P425" i="2"/>
  <c r="P424" i="2"/>
  <c r="P423" i="2"/>
  <c r="P422" i="2"/>
  <c r="P421" i="2"/>
  <c r="P420" i="2"/>
  <c r="P419" i="2"/>
  <c r="P418" i="2"/>
  <c r="P417" i="2"/>
  <c r="P416" i="2"/>
  <c r="P140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280" i="2"/>
  <c r="P138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56" i="2"/>
  <c r="P137" i="2"/>
  <c r="P136" i="2"/>
  <c r="P135" i="2"/>
  <c r="P134" i="2"/>
  <c r="P133" i="2"/>
  <c r="P132" i="2"/>
  <c r="P131" i="2"/>
  <c r="P130" i="2"/>
  <c r="P129" i="2"/>
  <c r="P128" i="2"/>
  <c r="P122" i="2"/>
  <c r="P121" i="2"/>
  <c r="P120" i="2"/>
  <c r="P119" i="2"/>
  <c r="P118" i="2"/>
  <c r="P117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6" i="2"/>
  <c r="P375" i="2"/>
  <c r="P374" i="2"/>
  <c r="P373" i="2"/>
  <c r="P372" i="2"/>
  <c r="P371" i="2"/>
  <c r="P255" i="2"/>
  <c r="P254" i="2"/>
  <c r="P252" i="2"/>
  <c r="P251" i="2"/>
  <c r="P250" i="2"/>
  <c r="P249" i="2"/>
  <c r="P248" i="2"/>
  <c r="P247" i="2"/>
  <c r="P246" i="2"/>
  <c r="P242" i="2"/>
  <c r="P239" i="2"/>
  <c r="P235" i="2"/>
  <c r="P111" i="2"/>
  <c r="P234" i="2"/>
  <c r="P233" i="2"/>
  <c r="P232" i="2"/>
  <c r="P231" i="2"/>
  <c r="P229" i="2"/>
  <c r="P227" i="2"/>
  <c r="P226" i="2"/>
  <c r="P110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0" i="2"/>
  <c r="P370" i="2"/>
  <c r="P369" i="2"/>
  <c r="P368" i="2"/>
  <c r="P367" i="2"/>
  <c r="P366" i="2"/>
  <c r="P365" i="2"/>
  <c r="P364" i="2"/>
  <c r="P363" i="2"/>
  <c r="P362" i="2"/>
  <c r="P361" i="2"/>
  <c r="P360" i="2"/>
  <c r="P85" i="2"/>
  <c r="P359" i="2"/>
  <c r="P358" i="2"/>
  <c r="P357" i="2"/>
  <c r="P356" i="2"/>
  <c r="P355" i="2"/>
  <c r="P354" i="2"/>
  <c r="P353" i="2"/>
  <c r="P352" i="2"/>
  <c r="P351" i="2"/>
  <c r="P84" i="2"/>
  <c r="P349" i="2"/>
  <c r="P348" i="2"/>
  <c r="P345" i="2"/>
  <c r="P344" i="2"/>
  <c r="P342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78" i="2"/>
  <c r="P77" i="2"/>
  <c r="P76" i="2"/>
  <c r="P75" i="2"/>
  <c r="P74" i="2"/>
  <c r="P73" i="2"/>
  <c r="P72" i="2"/>
  <c r="P71" i="2"/>
  <c r="P70" i="2"/>
  <c r="P67" i="2"/>
  <c r="P66" i="2"/>
  <c r="P64" i="2"/>
  <c r="P63" i="2"/>
  <c r="P62" i="2"/>
  <c r="P61" i="2"/>
  <c r="P60" i="2"/>
  <c r="P59" i="2"/>
  <c r="P58" i="2"/>
  <c r="P340" i="2"/>
  <c r="P56" i="2"/>
  <c r="P339" i="2"/>
  <c r="P338" i="2"/>
  <c r="P337" i="2"/>
  <c r="P336" i="2"/>
  <c r="P335" i="2"/>
  <c r="P334" i="2"/>
  <c r="P333" i="2"/>
  <c r="P332" i="2"/>
  <c r="P331" i="2"/>
  <c r="P330" i="2"/>
  <c r="P55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195" i="2"/>
  <c r="P53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0" i="2"/>
  <c r="P168" i="2"/>
  <c r="P167" i="2"/>
  <c r="P52" i="2"/>
  <c r="P51" i="2"/>
  <c r="P50" i="2"/>
  <c r="P49" i="2"/>
  <c r="P48" i="2"/>
  <c r="P47" i="2"/>
  <c r="P46" i="2"/>
  <c r="P45" i="2"/>
  <c r="P44" i="2"/>
  <c r="P43" i="2"/>
  <c r="P42" i="2"/>
  <c r="P40" i="2"/>
  <c r="P39" i="2"/>
  <c r="P38" i="2"/>
  <c r="P36" i="2"/>
  <c r="P35" i="2"/>
  <c r="P34" i="2"/>
  <c r="P33" i="2"/>
  <c r="P32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53" i="2"/>
  <c r="K195" i="2"/>
  <c r="K311" i="2"/>
  <c r="K312" i="2"/>
  <c r="K313" i="2"/>
  <c r="K314" i="2"/>
  <c r="K315" i="2"/>
  <c r="K316" i="2"/>
  <c r="K317" i="2"/>
  <c r="K318" i="2"/>
  <c r="K319" i="2"/>
  <c r="K54" i="2"/>
  <c r="K320" i="2"/>
  <c r="K321" i="2"/>
  <c r="K322" i="2"/>
  <c r="K323" i="2"/>
  <c r="K324" i="2"/>
  <c r="K325" i="2"/>
  <c r="K326" i="2"/>
  <c r="K327" i="2"/>
  <c r="K328" i="2"/>
  <c r="K329" i="2"/>
  <c r="K55" i="2"/>
  <c r="K330" i="2"/>
  <c r="K331" i="2"/>
  <c r="K332" i="2"/>
  <c r="K333" i="2"/>
  <c r="K334" i="2"/>
  <c r="K335" i="2"/>
  <c r="K336" i="2"/>
  <c r="K337" i="2"/>
  <c r="K338" i="2"/>
  <c r="K339" i="2"/>
  <c r="K56" i="2"/>
  <c r="K340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196" i="2"/>
  <c r="K197" i="2"/>
  <c r="K198" i="2"/>
  <c r="K199" i="2"/>
  <c r="K200" i="2"/>
  <c r="K201" i="2"/>
  <c r="K202" i="2"/>
  <c r="K203" i="2"/>
  <c r="K204" i="2"/>
  <c r="K81" i="2"/>
  <c r="K205" i="2"/>
  <c r="K206" i="2"/>
  <c r="K207" i="2"/>
  <c r="K208" i="2"/>
  <c r="K209" i="2"/>
  <c r="K210" i="2"/>
  <c r="K211" i="2"/>
  <c r="K212" i="2"/>
  <c r="K213" i="2"/>
  <c r="K214" i="2"/>
  <c r="K82" i="2"/>
  <c r="K215" i="2"/>
  <c r="K216" i="2"/>
  <c r="K217" i="2"/>
  <c r="K218" i="2"/>
  <c r="K219" i="2"/>
  <c r="K220" i="2"/>
  <c r="K221" i="2"/>
  <c r="K222" i="2"/>
  <c r="K223" i="2"/>
  <c r="K224" i="2"/>
  <c r="K83" i="2"/>
  <c r="K225" i="2"/>
  <c r="K341" i="2"/>
  <c r="K342" i="2"/>
  <c r="K343" i="2"/>
  <c r="K344" i="2"/>
  <c r="K345" i="2"/>
  <c r="K346" i="2"/>
  <c r="K347" i="2"/>
  <c r="K348" i="2"/>
  <c r="K349" i="2"/>
  <c r="K84" i="2"/>
  <c r="K350" i="2"/>
  <c r="K351" i="2"/>
  <c r="K352" i="2"/>
  <c r="K353" i="2"/>
  <c r="K354" i="2"/>
  <c r="K355" i="2"/>
  <c r="K356" i="2"/>
  <c r="K357" i="2"/>
  <c r="K358" i="2"/>
  <c r="K359" i="2"/>
  <c r="K85" i="2"/>
  <c r="K360" i="2"/>
  <c r="K361" i="2"/>
  <c r="K362" i="2"/>
  <c r="K363" i="2"/>
  <c r="K364" i="2"/>
  <c r="K365" i="2"/>
  <c r="K366" i="2"/>
  <c r="K367" i="2"/>
  <c r="K368" i="2"/>
  <c r="K369" i="2"/>
  <c r="K86" i="2"/>
  <c r="K370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226" i="2"/>
  <c r="K227" i="2"/>
  <c r="K228" i="2"/>
  <c r="K229" i="2"/>
  <c r="K230" i="2"/>
  <c r="K231" i="2"/>
  <c r="K232" i="2"/>
  <c r="K233" i="2"/>
  <c r="K234" i="2"/>
  <c r="K111" i="2"/>
  <c r="K235" i="2"/>
  <c r="K236" i="2"/>
  <c r="K237" i="2"/>
  <c r="K238" i="2"/>
  <c r="K239" i="2"/>
  <c r="K240" i="2"/>
  <c r="K241" i="2"/>
  <c r="K242" i="2"/>
  <c r="K243" i="2"/>
  <c r="K244" i="2"/>
  <c r="K112" i="2"/>
  <c r="K245" i="2"/>
  <c r="K246" i="2"/>
  <c r="K247" i="2"/>
  <c r="K248" i="2"/>
  <c r="K249" i="2"/>
  <c r="K250" i="2"/>
  <c r="K251" i="2"/>
  <c r="K252" i="2"/>
  <c r="K253" i="2"/>
  <c r="K254" i="2"/>
  <c r="K113" i="2"/>
  <c r="K255" i="2"/>
  <c r="K371" i="2"/>
  <c r="K372" i="2"/>
  <c r="K373" i="2"/>
  <c r="K374" i="2"/>
  <c r="K375" i="2"/>
  <c r="K376" i="2"/>
  <c r="K377" i="2"/>
  <c r="K378" i="2"/>
  <c r="K379" i="2"/>
  <c r="K114" i="2"/>
  <c r="K380" i="2"/>
  <c r="K381" i="2"/>
  <c r="K382" i="2"/>
  <c r="K383" i="2"/>
  <c r="K384" i="2"/>
  <c r="K385" i="2"/>
  <c r="K386" i="2"/>
  <c r="K387" i="2"/>
  <c r="K388" i="2"/>
  <c r="K389" i="2"/>
  <c r="K115" i="2"/>
  <c r="K390" i="2"/>
  <c r="K391" i="2"/>
  <c r="K392" i="2"/>
  <c r="K393" i="2"/>
  <c r="K394" i="2"/>
  <c r="K395" i="2"/>
  <c r="K396" i="2"/>
  <c r="K397" i="2"/>
  <c r="K398" i="2"/>
  <c r="K399" i="2"/>
  <c r="K116" i="2"/>
  <c r="K400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138" i="2"/>
  <c r="K280" i="2"/>
  <c r="K401" i="2"/>
  <c r="K402" i="2"/>
  <c r="K403" i="2"/>
  <c r="K404" i="2"/>
  <c r="K405" i="2"/>
  <c r="K139" i="2"/>
  <c r="K406" i="2"/>
  <c r="K407" i="2"/>
  <c r="K408" i="2"/>
  <c r="K409" i="2"/>
  <c r="K410" i="2"/>
  <c r="K411" i="2"/>
  <c r="K412" i="2"/>
  <c r="K413" i="2"/>
  <c r="K414" i="2"/>
  <c r="K415" i="2"/>
  <c r="K140" i="2"/>
  <c r="K416" i="2"/>
  <c r="K417" i="2"/>
  <c r="K418" i="2"/>
  <c r="K419" i="2"/>
  <c r="K420" i="2"/>
  <c r="K421" i="2"/>
  <c r="K422" i="2"/>
  <c r="K423" i="2"/>
  <c r="K424" i="2"/>
  <c r="K425" i="2"/>
  <c r="K141" i="2"/>
  <c r="K42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142" i="2"/>
  <c r="K143" i="2"/>
  <c r="K144" i="2"/>
  <c r="K145" i="2"/>
  <c r="K146" i="2"/>
  <c r="K147" i="2"/>
  <c r="K148" i="2"/>
  <c r="K149" i="2"/>
  <c r="K150" i="2"/>
  <c r="K26" i="2"/>
  <c r="K151" i="2"/>
  <c r="K152" i="2"/>
  <c r="K153" i="2"/>
  <c r="K154" i="2"/>
  <c r="K155" i="2"/>
  <c r="K156" i="2"/>
  <c r="K157" i="2"/>
  <c r="K158" i="2"/>
  <c r="K159" i="2"/>
  <c r="K160" i="2"/>
  <c r="K27" i="2"/>
  <c r="K161" i="2"/>
  <c r="K162" i="2"/>
  <c r="K163" i="2"/>
  <c r="K164" i="2"/>
  <c r="K165" i="2"/>
  <c r="K166" i="2"/>
  <c r="K28" i="2"/>
  <c r="K281" i="2"/>
  <c r="K282" i="2"/>
  <c r="K283" i="2"/>
  <c r="K284" i="2"/>
  <c r="K285" i="2"/>
  <c r="K286" i="2"/>
  <c r="K287" i="2"/>
  <c r="K288" i="2"/>
  <c r="K289" i="2"/>
  <c r="K29" i="2"/>
  <c r="K290" i="2"/>
  <c r="K291" i="2"/>
  <c r="K292" i="2"/>
  <c r="K293" i="2"/>
  <c r="K294" i="2"/>
  <c r="K295" i="2"/>
  <c r="K296" i="2"/>
  <c r="K297" i="2"/>
  <c r="K298" i="2"/>
  <c r="K299" i="2"/>
  <c r="K30" i="2"/>
  <c r="K300" i="2"/>
  <c r="K301" i="2"/>
  <c r="K302" i="2"/>
  <c r="K303" i="2"/>
  <c r="K304" i="2"/>
  <c r="K305" i="2"/>
  <c r="K306" i="2"/>
  <c r="K307" i="2"/>
  <c r="K308" i="2"/>
  <c r="K309" i="2"/>
  <c r="K31" i="2"/>
  <c r="K310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53" i="2"/>
  <c r="F195" i="2"/>
  <c r="F311" i="2"/>
  <c r="F312" i="2"/>
  <c r="F313" i="2"/>
  <c r="F314" i="2"/>
  <c r="F315" i="2"/>
  <c r="F316" i="2"/>
  <c r="F317" i="2"/>
  <c r="F318" i="2"/>
  <c r="F319" i="2"/>
  <c r="F54" i="2"/>
  <c r="F320" i="2"/>
  <c r="F321" i="2"/>
  <c r="F322" i="2"/>
  <c r="F323" i="2"/>
  <c r="F324" i="2"/>
  <c r="F325" i="2"/>
  <c r="F326" i="2"/>
  <c r="F327" i="2"/>
  <c r="F328" i="2"/>
  <c r="F329" i="2"/>
  <c r="F55" i="2"/>
  <c r="F330" i="2"/>
  <c r="F331" i="2"/>
  <c r="F332" i="2"/>
  <c r="F333" i="2"/>
  <c r="F334" i="2"/>
  <c r="F335" i="2"/>
  <c r="F336" i="2"/>
  <c r="F337" i="2"/>
  <c r="F338" i="2"/>
  <c r="F339" i="2"/>
  <c r="F56" i="2"/>
  <c r="F340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196" i="2"/>
  <c r="F197" i="2"/>
  <c r="F198" i="2"/>
  <c r="F199" i="2"/>
  <c r="F200" i="2"/>
  <c r="F201" i="2"/>
  <c r="F202" i="2"/>
  <c r="F203" i="2"/>
  <c r="F204" i="2"/>
  <c r="F81" i="2"/>
  <c r="F205" i="2"/>
  <c r="F206" i="2"/>
  <c r="F207" i="2"/>
  <c r="F208" i="2"/>
  <c r="F209" i="2"/>
  <c r="F210" i="2"/>
  <c r="F211" i="2"/>
  <c r="F212" i="2"/>
  <c r="F213" i="2"/>
  <c r="F214" i="2"/>
  <c r="F82" i="2"/>
  <c r="F215" i="2"/>
  <c r="F216" i="2"/>
  <c r="F217" i="2"/>
  <c r="F218" i="2"/>
  <c r="F219" i="2"/>
  <c r="F220" i="2"/>
  <c r="F221" i="2"/>
  <c r="F222" i="2"/>
  <c r="F223" i="2"/>
  <c r="F224" i="2"/>
  <c r="F83" i="2"/>
  <c r="F225" i="2"/>
  <c r="F341" i="2"/>
  <c r="F342" i="2"/>
  <c r="F343" i="2"/>
  <c r="F344" i="2"/>
  <c r="F345" i="2"/>
  <c r="F346" i="2"/>
  <c r="F347" i="2"/>
  <c r="F348" i="2"/>
  <c r="F349" i="2"/>
  <c r="F84" i="2"/>
  <c r="F350" i="2"/>
  <c r="F351" i="2"/>
  <c r="F352" i="2"/>
  <c r="F353" i="2"/>
  <c r="F354" i="2"/>
  <c r="F355" i="2"/>
  <c r="F356" i="2"/>
  <c r="F357" i="2"/>
  <c r="F358" i="2"/>
  <c r="F359" i="2"/>
  <c r="F85" i="2"/>
  <c r="F360" i="2"/>
  <c r="F361" i="2"/>
  <c r="F362" i="2"/>
  <c r="F363" i="2"/>
  <c r="F364" i="2"/>
  <c r="F365" i="2"/>
  <c r="F366" i="2"/>
  <c r="F367" i="2"/>
  <c r="F368" i="2"/>
  <c r="F369" i="2"/>
  <c r="F86" i="2"/>
  <c r="F370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226" i="2"/>
  <c r="F227" i="2"/>
  <c r="F228" i="2"/>
  <c r="F229" i="2"/>
  <c r="F230" i="2"/>
  <c r="F231" i="2"/>
  <c r="F232" i="2"/>
  <c r="F233" i="2"/>
  <c r="F234" i="2"/>
  <c r="F111" i="2"/>
  <c r="F235" i="2"/>
  <c r="F236" i="2"/>
  <c r="F237" i="2"/>
  <c r="F238" i="2"/>
  <c r="F239" i="2"/>
  <c r="F240" i="2"/>
  <c r="F241" i="2"/>
  <c r="F242" i="2"/>
  <c r="F243" i="2"/>
  <c r="F244" i="2"/>
  <c r="F112" i="2"/>
  <c r="F245" i="2"/>
  <c r="F246" i="2"/>
  <c r="F247" i="2"/>
  <c r="F248" i="2"/>
  <c r="F249" i="2"/>
  <c r="F250" i="2"/>
  <c r="F251" i="2"/>
  <c r="F252" i="2"/>
  <c r="F253" i="2"/>
  <c r="F254" i="2"/>
  <c r="F113" i="2"/>
  <c r="F255" i="2"/>
  <c r="F371" i="2"/>
  <c r="F372" i="2"/>
  <c r="F373" i="2"/>
  <c r="F374" i="2"/>
  <c r="F375" i="2"/>
  <c r="F376" i="2"/>
  <c r="F377" i="2"/>
  <c r="F378" i="2"/>
  <c r="F379" i="2"/>
  <c r="F114" i="2"/>
  <c r="F380" i="2"/>
  <c r="F381" i="2"/>
  <c r="F382" i="2"/>
  <c r="F383" i="2"/>
  <c r="F384" i="2"/>
  <c r="F385" i="2"/>
  <c r="F386" i="2"/>
  <c r="F387" i="2"/>
  <c r="F388" i="2"/>
  <c r="F389" i="2"/>
  <c r="F115" i="2"/>
  <c r="F390" i="2"/>
  <c r="F391" i="2"/>
  <c r="F392" i="2"/>
  <c r="F393" i="2"/>
  <c r="F394" i="2"/>
  <c r="F395" i="2"/>
  <c r="F396" i="2"/>
  <c r="F397" i="2"/>
  <c r="F398" i="2"/>
  <c r="F399" i="2"/>
  <c r="F116" i="2"/>
  <c r="F400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138" i="2"/>
  <c r="F280" i="2"/>
  <c r="F401" i="2"/>
  <c r="F402" i="2"/>
  <c r="F403" i="2"/>
  <c r="F404" i="2"/>
  <c r="F405" i="2"/>
  <c r="F139" i="2"/>
  <c r="F406" i="2"/>
  <c r="F407" i="2"/>
  <c r="F408" i="2"/>
  <c r="F409" i="2"/>
  <c r="F410" i="2"/>
  <c r="F411" i="2"/>
  <c r="F412" i="2"/>
  <c r="F413" i="2"/>
  <c r="F414" i="2"/>
  <c r="F415" i="2"/>
  <c r="F140" i="2"/>
  <c r="F416" i="2"/>
  <c r="F417" i="2"/>
  <c r="F418" i="2"/>
  <c r="F419" i="2"/>
  <c r="F420" i="2"/>
  <c r="F421" i="2"/>
  <c r="F422" i="2"/>
  <c r="F423" i="2"/>
  <c r="F424" i="2"/>
  <c r="F425" i="2"/>
  <c r="F141" i="2"/>
  <c r="F42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142" i="2"/>
  <c r="F143" i="2"/>
  <c r="F144" i="2"/>
  <c r="F145" i="2"/>
  <c r="F146" i="2"/>
  <c r="F147" i="2"/>
  <c r="F148" i="2"/>
  <c r="F149" i="2"/>
  <c r="F150" i="2"/>
  <c r="F26" i="2"/>
  <c r="F151" i="2"/>
  <c r="F152" i="2"/>
  <c r="F153" i="2"/>
  <c r="F154" i="2"/>
  <c r="F155" i="2"/>
  <c r="F156" i="2"/>
  <c r="F157" i="2"/>
  <c r="F158" i="2"/>
  <c r="F159" i="2"/>
  <c r="F160" i="2"/>
  <c r="F27" i="2"/>
  <c r="F161" i="2"/>
  <c r="F162" i="2"/>
  <c r="F163" i="2"/>
  <c r="F164" i="2"/>
  <c r="F165" i="2"/>
  <c r="F166" i="2"/>
  <c r="F28" i="2"/>
  <c r="F281" i="2"/>
  <c r="F282" i="2"/>
  <c r="F283" i="2"/>
  <c r="F284" i="2"/>
  <c r="F285" i="2"/>
  <c r="F286" i="2"/>
  <c r="F287" i="2"/>
  <c r="F288" i="2"/>
  <c r="F289" i="2"/>
  <c r="F29" i="2"/>
  <c r="F290" i="2"/>
  <c r="F291" i="2"/>
  <c r="F292" i="2"/>
  <c r="F293" i="2"/>
  <c r="F294" i="2"/>
  <c r="F295" i="2"/>
  <c r="F296" i="2"/>
  <c r="F297" i="2"/>
  <c r="F298" i="2"/>
  <c r="F299" i="2"/>
  <c r="F30" i="2"/>
  <c r="F300" i="2"/>
  <c r="F301" i="2"/>
  <c r="F302" i="2"/>
  <c r="F303" i="2"/>
  <c r="F304" i="2"/>
  <c r="F305" i="2"/>
  <c r="F306" i="2"/>
  <c r="F307" i="2"/>
  <c r="F308" i="2"/>
  <c r="F309" i="2"/>
  <c r="F31" i="2"/>
  <c r="F310" i="2"/>
  <c r="K115" i="3" l="1"/>
  <c r="T308" i="2"/>
  <c r="R308" i="2" s="1"/>
  <c r="O308" i="2"/>
  <c r="M308" i="2" s="1"/>
  <c r="J308" i="2"/>
  <c r="H308" i="2" s="1"/>
  <c r="T304" i="2"/>
  <c r="R304" i="2" s="1"/>
  <c r="O304" i="2"/>
  <c r="M304" i="2" s="1"/>
  <c r="J304" i="2"/>
  <c r="H304" i="2" s="1"/>
  <c r="T300" i="2"/>
  <c r="R300" i="2" s="1"/>
  <c r="O300" i="2"/>
  <c r="M300" i="2" s="1"/>
  <c r="J300" i="2"/>
  <c r="H300" i="2" s="1"/>
  <c r="T297" i="2"/>
  <c r="R297" i="2" s="1"/>
  <c r="O297" i="2"/>
  <c r="M297" i="2" s="1"/>
  <c r="J297" i="2"/>
  <c r="H297" i="2" s="1"/>
  <c r="T293" i="2"/>
  <c r="R293" i="2" s="1"/>
  <c r="O293" i="2"/>
  <c r="M293" i="2" s="1"/>
  <c r="J293" i="2"/>
  <c r="H293" i="2" s="1"/>
  <c r="T29" i="2"/>
  <c r="R29" i="2" s="1"/>
  <c r="O29" i="2"/>
  <c r="M29" i="2" s="1"/>
  <c r="J29" i="2"/>
  <c r="H29" i="2" s="1"/>
  <c r="T286" i="2"/>
  <c r="R286" i="2" s="1"/>
  <c r="O286" i="2"/>
  <c r="M286" i="2" s="1"/>
  <c r="J286" i="2"/>
  <c r="H286" i="2" s="1"/>
  <c r="T282" i="2"/>
  <c r="R282" i="2" s="1"/>
  <c r="J282" i="2"/>
  <c r="H282" i="2" s="1"/>
  <c r="T165" i="2"/>
  <c r="R165" i="2" s="1"/>
  <c r="O165" i="2"/>
  <c r="M165" i="2" s="1"/>
  <c r="J165" i="2"/>
  <c r="H165" i="2" s="1"/>
  <c r="T161" i="2"/>
  <c r="R161" i="2" s="1"/>
  <c r="O161" i="2"/>
  <c r="M161" i="2" s="1"/>
  <c r="J161" i="2"/>
  <c r="H161" i="2" s="1"/>
  <c r="T158" i="2"/>
  <c r="R158" i="2" s="1"/>
  <c r="O158" i="2"/>
  <c r="M158" i="2" s="1"/>
  <c r="J158" i="2"/>
  <c r="H158" i="2" s="1"/>
  <c r="T154" i="2"/>
  <c r="R154" i="2" s="1"/>
  <c r="O154" i="2"/>
  <c r="M154" i="2" s="1"/>
  <c r="J154" i="2"/>
  <c r="H154" i="2" s="1"/>
  <c r="T26" i="2"/>
  <c r="R26" i="2" s="1"/>
  <c r="J26" i="2"/>
  <c r="H26" i="2" s="1"/>
  <c r="T147" i="2"/>
  <c r="R147" i="2" s="1"/>
  <c r="O147" i="2"/>
  <c r="M147" i="2" s="1"/>
  <c r="J147" i="2"/>
  <c r="H147" i="2" s="1"/>
  <c r="T143" i="2"/>
  <c r="R143" i="2" s="1"/>
  <c r="J143" i="2"/>
  <c r="H143" i="2" s="1"/>
  <c r="T23" i="2"/>
  <c r="R23" i="2" s="1"/>
  <c r="O23" i="2"/>
  <c r="M23" i="2" s="1"/>
  <c r="J23" i="2"/>
  <c r="H23" i="2" s="1"/>
  <c r="T19" i="2"/>
  <c r="R19" i="2" s="1"/>
  <c r="O19" i="2"/>
  <c r="M19" i="2" s="1"/>
  <c r="J19" i="2"/>
  <c r="H19" i="2" s="1"/>
  <c r="T15" i="2"/>
  <c r="R15" i="2" s="1"/>
  <c r="O15" i="2"/>
  <c r="M15" i="2" s="1"/>
  <c r="J15" i="2"/>
  <c r="H15" i="2" s="1"/>
  <c r="T11" i="2"/>
  <c r="R11" i="2" s="1"/>
  <c r="O11" i="2"/>
  <c r="M11" i="2" s="1"/>
  <c r="J11" i="2"/>
  <c r="H11" i="2" s="1"/>
  <c r="T7" i="2"/>
  <c r="R7" i="2" s="1"/>
  <c r="O7" i="2"/>
  <c r="M7" i="2" s="1"/>
  <c r="J7" i="2"/>
  <c r="H7" i="2" s="1"/>
  <c r="T3" i="2"/>
  <c r="O3" i="2"/>
  <c r="J3" i="2"/>
  <c r="T425" i="2"/>
  <c r="R425" i="2" s="1"/>
  <c r="O425" i="2"/>
  <c r="M425" i="2" s="1"/>
  <c r="J425" i="2"/>
  <c r="H425" i="2" s="1"/>
  <c r="T421" i="2"/>
  <c r="R421" i="2" s="1"/>
  <c r="O421" i="2"/>
  <c r="M421" i="2" s="1"/>
  <c r="J421" i="2"/>
  <c r="H421" i="2" s="1"/>
  <c r="T417" i="2"/>
  <c r="R417" i="2" s="1"/>
  <c r="O417" i="2"/>
  <c r="M417" i="2" s="1"/>
  <c r="J417" i="2"/>
  <c r="H417" i="2" s="1"/>
  <c r="T414" i="2"/>
  <c r="R414" i="2" s="1"/>
  <c r="O414" i="2"/>
  <c r="M414" i="2" s="1"/>
  <c r="J414" i="2"/>
  <c r="H414" i="2" s="1"/>
  <c r="T410" i="2"/>
  <c r="R410" i="2" s="1"/>
  <c r="O410" i="2"/>
  <c r="M410" i="2" s="1"/>
  <c r="J410" i="2"/>
  <c r="H410" i="2" s="1"/>
  <c r="T406" i="2"/>
  <c r="R406" i="2" s="1"/>
  <c r="O406" i="2"/>
  <c r="M406" i="2" s="1"/>
  <c r="J406" i="2"/>
  <c r="H406" i="2" s="1"/>
  <c r="T403" i="2"/>
  <c r="R403" i="2" s="1"/>
  <c r="O403" i="2"/>
  <c r="M403" i="2" s="1"/>
  <c r="J403" i="2"/>
  <c r="H403" i="2" s="1"/>
  <c r="T138" i="2"/>
  <c r="R138" i="2" s="1"/>
  <c r="O138" i="2"/>
  <c r="M138" i="2" s="1"/>
  <c r="J138" i="2"/>
  <c r="H138" i="2" s="1"/>
  <c r="T276" i="2"/>
  <c r="R276" i="2" s="1"/>
  <c r="O276" i="2"/>
  <c r="M276" i="2" s="1"/>
  <c r="J276" i="2"/>
  <c r="H276" i="2" s="1"/>
  <c r="T272" i="2"/>
  <c r="R272" i="2" s="1"/>
  <c r="O272" i="2"/>
  <c r="M272" i="2" s="1"/>
  <c r="J272" i="2"/>
  <c r="H272" i="2" s="1"/>
  <c r="T269" i="2"/>
  <c r="R269" i="2" s="1"/>
  <c r="O269" i="2"/>
  <c r="M269" i="2" s="1"/>
  <c r="J269" i="2"/>
  <c r="H269" i="2" s="1"/>
  <c r="T265" i="2"/>
  <c r="R265" i="2" s="1"/>
  <c r="J265" i="2"/>
  <c r="H265" i="2" s="1"/>
  <c r="T261" i="2"/>
  <c r="R261" i="2" s="1"/>
  <c r="J261" i="2"/>
  <c r="H261" i="2" s="1"/>
  <c r="T258" i="2"/>
  <c r="R258" i="2" s="1"/>
  <c r="J258" i="2"/>
  <c r="H258" i="2" s="1"/>
  <c r="T137" i="2"/>
  <c r="R137" i="2" s="1"/>
  <c r="O137" i="2"/>
  <c r="M137" i="2" s="1"/>
  <c r="J137" i="2"/>
  <c r="H137" i="2" s="1"/>
  <c r="T134" i="2"/>
  <c r="R134" i="2" s="1"/>
  <c r="O134" i="2"/>
  <c r="M134" i="2" s="1"/>
  <c r="J134" i="2"/>
  <c r="H134" i="2" s="1"/>
  <c r="T130" i="2"/>
  <c r="R130" i="2" s="1"/>
  <c r="O130" i="2"/>
  <c r="M130" i="2" s="1"/>
  <c r="J130" i="2"/>
  <c r="H130" i="2" s="1"/>
  <c r="T123" i="2"/>
  <c r="R123" i="2" s="1"/>
  <c r="J123" i="2"/>
  <c r="H123" i="2" s="1"/>
  <c r="T119" i="2"/>
  <c r="R119" i="2" s="1"/>
  <c r="O119" i="2"/>
  <c r="M119" i="2" s="1"/>
  <c r="J119" i="2"/>
  <c r="H119" i="2" s="1"/>
  <c r="T400" i="2"/>
  <c r="R400" i="2" s="1"/>
  <c r="O400" i="2"/>
  <c r="M400" i="2" s="1"/>
  <c r="J400" i="2"/>
  <c r="H400" i="2" s="1"/>
  <c r="T397" i="2"/>
  <c r="R397" i="2" s="1"/>
  <c r="O397" i="2"/>
  <c r="M397" i="2" s="1"/>
  <c r="J397" i="2"/>
  <c r="H397" i="2" s="1"/>
  <c r="T393" i="2"/>
  <c r="R393" i="2" s="1"/>
  <c r="O393" i="2"/>
  <c r="M393" i="2" s="1"/>
  <c r="J393" i="2"/>
  <c r="H393" i="2" s="1"/>
  <c r="T115" i="2"/>
  <c r="R115" i="2" s="1"/>
  <c r="J115" i="2"/>
  <c r="H115" i="2" s="1"/>
  <c r="T386" i="2"/>
  <c r="R386" i="2" s="1"/>
  <c r="O386" i="2"/>
  <c r="M386" i="2" s="1"/>
  <c r="J386" i="2"/>
  <c r="H386" i="2" s="1"/>
  <c r="T382" i="2"/>
  <c r="R382" i="2" s="1"/>
  <c r="O382" i="2"/>
  <c r="M382" i="2" s="1"/>
  <c r="J382" i="2"/>
  <c r="H382" i="2" s="1"/>
  <c r="T379" i="2"/>
  <c r="R379" i="2" s="1"/>
  <c r="O379" i="2"/>
  <c r="M379" i="2" s="1"/>
  <c r="J379" i="2"/>
  <c r="H379" i="2" s="1"/>
  <c r="T375" i="2"/>
  <c r="R375" i="2" s="1"/>
  <c r="O375" i="2"/>
  <c r="M375" i="2" s="1"/>
  <c r="J375" i="2"/>
  <c r="H375" i="2" s="1"/>
  <c r="T371" i="2"/>
  <c r="O371" i="2"/>
  <c r="J371" i="2"/>
  <c r="T253" i="2"/>
  <c r="R253" i="2" s="1"/>
  <c r="J253" i="2"/>
  <c r="H253" i="2" s="1"/>
  <c r="T249" i="2"/>
  <c r="R249" i="2" s="1"/>
  <c r="O249" i="2"/>
  <c r="M249" i="2" s="1"/>
  <c r="J249" i="2"/>
  <c r="H249" i="2" s="1"/>
  <c r="T245" i="2"/>
  <c r="R245" i="2" s="1"/>
  <c r="J245" i="2"/>
  <c r="H245" i="2" s="1"/>
  <c r="T242" i="2"/>
  <c r="R242" i="2" s="1"/>
  <c r="O242" i="2"/>
  <c r="M242" i="2" s="1"/>
  <c r="J242" i="2"/>
  <c r="H242" i="2" s="1"/>
  <c r="T238" i="2"/>
  <c r="R238" i="2" s="1"/>
  <c r="J238" i="2"/>
  <c r="H238" i="2" s="1"/>
  <c r="T111" i="2"/>
  <c r="R111" i="2" s="1"/>
  <c r="O111" i="2"/>
  <c r="M111" i="2" s="1"/>
  <c r="J111" i="2"/>
  <c r="H111" i="2" s="1"/>
  <c r="T231" i="2"/>
  <c r="R231" i="2" s="1"/>
  <c r="O231" i="2"/>
  <c r="M231" i="2" s="1"/>
  <c r="J231" i="2"/>
  <c r="H231" i="2" s="1"/>
  <c r="T227" i="2"/>
  <c r="R227" i="2" s="1"/>
  <c r="O227" i="2"/>
  <c r="M227" i="2" s="1"/>
  <c r="J227" i="2"/>
  <c r="H227" i="2" s="1"/>
  <c r="T108" i="2"/>
  <c r="R108" i="2" s="1"/>
  <c r="O108" i="2"/>
  <c r="M108" i="2" s="1"/>
  <c r="J108" i="2"/>
  <c r="H108" i="2" s="1"/>
  <c r="T104" i="2"/>
  <c r="R104" i="2" s="1"/>
  <c r="O104" i="2"/>
  <c r="M104" i="2" s="1"/>
  <c r="J104" i="2"/>
  <c r="H104" i="2" s="1"/>
  <c r="T100" i="2"/>
  <c r="R100" i="2" s="1"/>
  <c r="O100" i="2"/>
  <c r="M100" i="2" s="1"/>
  <c r="J100" i="2"/>
  <c r="H100" i="2" s="1"/>
  <c r="T96" i="2"/>
  <c r="R96" i="2" s="1"/>
  <c r="O96" i="2"/>
  <c r="M96" i="2" s="1"/>
  <c r="J96" i="2"/>
  <c r="H96" i="2" s="1"/>
  <c r="T92" i="2"/>
  <c r="R92" i="2" s="1"/>
  <c r="J92" i="2"/>
  <c r="H92" i="2" s="1"/>
  <c r="T88" i="2"/>
  <c r="R88" i="2" s="1"/>
  <c r="J88" i="2"/>
  <c r="H88" i="2" s="1"/>
  <c r="T369" i="2"/>
  <c r="R369" i="2" s="1"/>
  <c r="O369" i="2"/>
  <c r="M369" i="2" s="1"/>
  <c r="J369" i="2"/>
  <c r="H369" i="2" s="1"/>
  <c r="T365" i="2"/>
  <c r="R365" i="2" s="1"/>
  <c r="O365" i="2"/>
  <c r="M365" i="2" s="1"/>
  <c r="J365" i="2"/>
  <c r="H365" i="2" s="1"/>
  <c r="T361" i="2"/>
  <c r="R361" i="2" s="1"/>
  <c r="O361" i="2"/>
  <c r="M361" i="2" s="1"/>
  <c r="J361" i="2"/>
  <c r="H361" i="2" s="1"/>
  <c r="T358" i="2"/>
  <c r="R358" i="2" s="1"/>
  <c r="O358" i="2"/>
  <c r="M358" i="2" s="1"/>
  <c r="J358" i="2"/>
  <c r="H358" i="2" s="1"/>
  <c r="T354" i="2"/>
  <c r="R354" i="2" s="1"/>
  <c r="O354" i="2"/>
  <c r="M354" i="2" s="1"/>
  <c r="J354" i="2"/>
  <c r="H354" i="2" s="1"/>
  <c r="T350" i="2"/>
  <c r="R350" i="2" s="1"/>
  <c r="J350" i="2"/>
  <c r="H350" i="2" s="1"/>
  <c r="T347" i="2"/>
  <c r="R347" i="2" s="1"/>
  <c r="J347" i="2"/>
  <c r="H347" i="2" s="1"/>
  <c r="T343" i="2"/>
  <c r="R343" i="2" s="1"/>
  <c r="J343" i="2"/>
  <c r="H343" i="2" s="1"/>
  <c r="T83" i="2"/>
  <c r="R83" i="2" s="1"/>
  <c r="J83" i="2"/>
  <c r="H83" i="2" s="1"/>
  <c r="T221" i="2"/>
  <c r="R221" i="2" s="1"/>
  <c r="O221" i="2"/>
  <c r="M221" i="2" s="1"/>
  <c r="J221" i="2"/>
  <c r="H221" i="2" s="1"/>
  <c r="T217" i="2"/>
  <c r="R217" i="2" s="1"/>
  <c r="O217" i="2"/>
  <c r="M217" i="2" s="1"/>
  <c r="J217" i="2"/>
  <c r="H217" i="2" s="1"/>
  <c r="T214" i="2"/>
  <c r="R214" i="2" s="1"/>
  <c r="O214" i="2"/>
  <c r="M214" i="2" s="1"/>
  <c r="J214" i="2"/>
  <c r="H214" i="2" s="1"/>
  <c r="T210" i="2"/>
  <c r="R210" i="2" s="1"/>
  <c r="O210" i="2"/>
  <c r="M210" i="2" s="1"/>
  <c r="J210" i="2"/>
  <c r="H210" i="2" s="1"/>
  <c r="T206" i="2"/>
  <c r="R206" i="2" s="1"/>
  <c r="O206" i="2"/>
  <c r="M206" i="2" s="1"/>
  <c r="J206" i="2"/>
  <c r="H206" i="2" s="1"/>
  <c r="T203" i="2"/>
  <c r="R203" i="2" s="1"/>
  <c r="O203" i="2"/>
  <c r="M203" i="2" s="1"/>
  <c r="J203" i="2"/>
  <c r="H203" i="2" s="1"/>
  <c r="T199" i="2"/>
  <c r="R199" i="2" s="1"/>
  <c r="J199" i="2"/>
  <c r="H199" i="2" s="1"/>
  <c r="T80" i="2"/>
  <c r="R80" i="2" s="1"/>
  <c r="J80" i="2"/>
  <c r="H80" i="2" s="1"/>
  <c r="T76" i="2"/>
  <c r="R76" i="2" s="1"/>
  <c r="O76" i="2"/>
  <c r="M76" i="2" s="1"/>
  <c r="J76" i="2"/>
  <c r="H76" i="2" s="1"/>
  <c r="T72" i="2"/>
  <c r="R72" i="2" s="1"/>
  <c r="O72" i="2"/>
  <c r="M72" i="2" s="1"/>
  <c r="J72" i="2"/>
  <c r="H72" i="2" s="1"/>
  <c r="T68" i="2"/>
  <c r="R68" i="2" s="1"/>
  <c r="J68" i="2"/>
  <c r="H68" i="2" s="1"/>
  <c r="T64" i="2"/>
  <c r="R64" i="2" s="1"/>
  <c r="O64" i="2"/>
  <c r="M64" i="2" s="1"/>
  <c r="J64" i="2"/>
  <c r="H64" i="2" s="1"/>
  <c r="T60" i="2"/>
  <c r="R60" i="2" s="1"/>
  <c r="O60" i="2"/>
  <c r="M60" i="2" s="1"/>
  <c r="J60" i="2"/>
  <c r="H60" i="2" s="1"/>
  <c r="T340" i="2"/>
  <c r="R340" i="2" s="1"/>
  <c r="O340" i="2"/>
  <c r="M340" i="2" s="1"/>
  <c r="J340" i="2"/>
  <c r="H340" i="2" s="1"/>
  <c r="T337" i="2"/>
  <c r="R337" i="2" s="1"/>
  <c r="O337" i="2"/>
  <c r="M337" i="2" s="1"/>
  <c r="J337" i="2"/>
  <c r="H337" i="2" s="1"/>
  <c r="T333" i="2"/>
  <c r="R333" i="2" s="1"/>
  <c r="O333" i="2"/>
  <c r="M333" i="2" s="1"/>
  <c r="J333" i="2"/>
  <c r="H333" i="2" s="1"/>
  <c r="T55" i="2"/>
  <c r="R55" i="2" s="1"/>
  <c r="O55" i="2"/>
  <c r="M55" i="2" s="1"/>
  <c r="J55" i="2"/>
  <c r="H55" i="2" s="1"/>
  <c r="T326" i="2"/>
  <c r="R326" i="2" s="1"/>
  <c r="O326" i="2"/>
  <c r="M326" i="2" s="1"/>
  <c r="J326" i="2"/>
  <c r="H326" i="2" s="1"/>
  <c r="T322" i="2"/>
  <c r="R322" i="2" s="1"/>
  <c r="O322" i="2"/>
  <c r="M322" i="2" s="1"/>
  <c r="J322" i="2"/>
  <c r="H322" i="2" s="1"/>
  <c r="T319" i="2"/>
  <c r="R319" i="2" s="1"/>
  <c r="O319" i="2"/>
  <c r="M319" i="2" s="1"/>
  <c r="J319" i="2"/>
  <c r="H319" i="2" s="1"/>
  <c r="T315" i="2"/>
  <c r="O315" i="2"/>
  <c r="J315" i="2"/>
  <c r="T311" i="2"/>
  <c r="J311" i="2"/>
  <c r="T193" i="2"/>
  <c r="R193" i="2" s="1"/>
  <c r="O193" i="2"/>
  <c r="M193" i="2" s="1"/>
  <c r="J193" i="2"/>
  <c r="H193" i="2" s="1"/>
  <c r="T189" i="2"/>
  <c r="R189" i="2" s="1"/>
  <c r="O189" i="2"/>
  <c r="M189" i="2" s="1"/>
  <c r="J189" i="2"/>
  <c r="H189" i="2" s="1"/>
  <c r="T185" i="2"/>
  <c r="R185" i="2" s="1"/>
  <c r="O185" i="2"/>
  <c r="M185" i="2" s="1"/>
  <c r="J185" i="2"/>
  <c r="H185" i="2" s="1"/>
  <c r="T182" i="2"/>
  <c r="R182" i="2" s="1"/>
  <c r="O182" i="2"/>
  <c r="M182" i="2" s="1"/>
  <c r="J182" i="2"/>
  <c r="H182" i="2" s="1"/>
  <c r="T178" i="2"/>
  <c r="R178" i="2" s="1"/>
  <c r="O178" i="2"/>
  <c r="M178" i="2" s="1"/>
  <c r="J178" i="2"/>
  <c r="H178" i="2" s="1"/>
  <c r="T171" i="2"/>
  <c r="R171" i="2" s="1"/>
  <c r="J171" i="2"/>
  <c r="H171" i="2" s="1"/>
  <c r="T168" i="2"/>
  <c r="O168" i="2"/>
  <c r="J168" i="2"/>
  <c r="T51" i="2"/>
  <c r="R51" i="2" s="1"/>
  <c r="O51" i="2"/>
  <c r="M51" i="2" s="1"/>
  <c r="J51" i="2"/>
  <c r="H51" i="2" s="1"/>
  <c r="T47" i="2"/>
  <c r="R47" i="2" s="1"/>
  <c r="O47" i="2"/>
  <c r="M47" i="2" s="1"/>
  <c r="J47" i="2"/>
  <c r="H47" i="2" s="1"/>
  <c r="T43" i="2"/>
  <c r="R43" i="2" s="1"/>
  <c r="O43" i="2"/>
  <c r="M43" i="2" s="1"/>
  <c r="J43" i="2"/>
  <c r="H43" i="2" s="1"/>
  <c r="T40" i="2"/>
  <c r="R40" i="2" s="1"/>
  <c r="O40" i="2"/>
  <c r="M40" i="2" s="1"/>
  <c r="J40" i="2"/>
  <c r="H40" i="2" s="1"/>
  <c r="T36" i="2"/>
  <c r="R36" i="2" s="1"/>
  <c r="O36" i="2"/>
  <c r="M36" i="2" s="1"/>
  <c r="J36" i="2"/>
  <c r="H36" i="2" s="1"/>
  <c r="T32" i="2"/>
  <c r="O32" i="2"/>
  <c r="J32" i="2"/>
  <c r="T310" i="2"/>
  <c r="R310" i="2" s="1"/>
  <c r="O310" i="2"/>
  <c r="M310" i="2" s="1"/>
  <c r="J310" i="2"/>
  <c r="H310" i="2" s="1"/>
  <c r="T307" i="2"/>
  <c r="R307" i="2" s="1"/>
  <c r="O307" i="2"/>
  <c r="M307" i="2" s="1"/>
  <c r="J307" i="2"/>
  <c r="H307" i="2" s="1"/>
  <c r="T303" i="2"/>
  <c r="R303" i="2" s="1"/>
  <c r="O303" i="2"/>
  <c r="M303" i="2" s="1"/>
  <c r="J303" i="2"/>
  <c r="H303" i="2" s="1"/>
  <c r="T30" i="2"/>
  <c r="R30" i="2" s="1"/>
  <c r="O30" i="2"/>
  <c r="M30" i="2" s="1"/>
  <c r="J30" i="2"/>
  <c r="H30" i="2" s="1"/>
  <c r="T296" i="2"/>
  <c r="R296" i="2" s="1"/>
  <c r="O296" i="2"/>
  <c r="M296" i="2" s="1"/>
  <c r="J296" i="2"/>
  <c r="H296" i="2" s="1"/>
  <c r="T292" i="2"/>
  <c r="R292" i="2" s="1"/>
  <c r="O292" i="2"/>
  <c r="M292" i="2" s="1"/>
  <c r="J292" i="2"/>
  <c r="H292" i="2" s="1"/>
  <c r="T289" i="2"/>
  <c r="R289" i="2" s="1"/>
  <c r="O289" i="2"/>
  <c r="M289" i="2" s="1"/>
  <c r="J289" i="2"/>
  <c r="H289" i="2" s="1"/>
  <c r="T285" i="2"/>
  <c r="O285" i="2"/>
  <c r="J285" i="2"/>
  <c r="T281" i="2"/>
  <c r="J281" i="2"/>
  <c r="T164" i="2"/>
  <c r="R164" i="2" s="1"/>
  <c r="O164" i="2"/>
  <c r="M164" i="2" s="1"/>
  <c r="J164" i="2"/>
  <c r="H164" i="2" s="1"/>
  <c r="T27" i="2"/>
  <c r="R27" i="2" s="1"/>
  <c r="J27" i="2"/>
  <c r="H27" i="2" s="1"/>
  <c r="T157" i="2"/>
  <c r="R157" i="2" s="1"/>
  <c r="O157" i="2"/>
  <c r="M157" i="2" s="1"/>
  <c r="J157" i="2"/>
  <c r="H157" i="2" s="1"/>
  <c r="T153" i="2"/>
  <c r="R153" i="2" s="1"/>
  <c r="O153" i="2"/>
  <c r="M153" i="2" s="1"/>
  <c r="J153" i="2"/>
  <c r="H153" i="2" s="1"/>
  <c r="T150" i="2"/>
  <c r="R150" i="2" s="1"/>
  <c r="O150" i="2"/>
  <c r="M150" i="2" s="1"/>
  <c r="J150" i="2"/>
  <c r="H150" i="2" s="1"/>
  <c r="T146" i="2"/>
  <c r="R146" i="2" s="1"/>
  <c r="O146" i="2"/>
  <c r="M146" i="2" s="1"/>
  <c r="J146" i="2"/>
  <c r="H146" i="2" s="1"/>
  <c r="T142" i="2"/>
  <c r="O142" i="2"/>
  <c r="J142" i="2"/>
  <c r="T22" i="2"/>
  <c r="R22" i="2" s="1"/>
  <c r="O22" i="2"/>
  <c r="M22" i="2" s="1"/>
  <c r="J22" i="2"/>
  <c r="H22" i="2" s="1"/>
  <c r="T18" i="2"/>
  <c r="R18" i="2" s="1"/>
  <c r="O18" i="2"/>
  <c r="M18" i="2" s="1"/>
  <c r="J18" i="2"/>
  <c r="H18" i="2" s="1"/>
  <c r="T14" i="2"/>
  <c r="R14" i="2" s="1"/>
  <c r="O14" i="2"/>
  <c r="M14" i="2" s="1"/>
  <c r="J14" i="2"/>
  <c r="H14" i="2" s="1"/>
  <c r="T10" i="2"/>
  <c r="R10" i="2" s="1"/>
  <c r="O10" i="2"/>
  <c r="M10" i="2" s="1"/>
  <c r="J10" i="2"/>
  <c r="H10" i="2" s="1"/>
  <c r="T6" i="2"/>
  <c r="R6" i="2" s="1"/>
  <c r="O6" i="2"/>
  <c r="M6" i="2" s="1"/>
  <c r="J6" i="2"/>
  <c r="H6" i="2" s="1"/>
  <c r="T2" i="2"/>
  <c r="J2" i="2"/>
  <c r="T424" i="2"/>
  <c r="R424" i="2" s="1"/>
  <c r="O424" i="2"/>
  <c r="M424" i="2" s="1"/>
  <c r="J424" i="2"/>
  <c r="H424" i="2" s="1"/>
  <c r="T420" i="2"/>
  <c r="R420" i="2" s="1"/>
  <c r="O420" i="2"/>
  <c r="M420" i="2" s="1"/>
  <c r="J420" i="2"/>
  <c r="H420" i="2" s="1"/>
  <c r="T416" i="2"/>
  <c r="R416" i="2" s="1"/>
  <c r="O416" i="2"/>
  <c r="M416" i="2" s="1"/>
  <c r="J416" i="2"/>
  <c r="H416" i="2" s="1"/>
  <c r="T413" i="2"/>
  <c r="R413" i="2" s="1"/>
  <c r="O413" i="2"/>
  <c r="M413" i="2" s="1"/>
  <c r="J413" i="2"/>
  <c r="H413" i="2" s="1"/>
  <c r="T409" i="2"/>
  <c r="R409" i="2" s="1"/>
  <c r="O409" i="2"/>
  <c r="M409" i="2" s="1"/>
  <c r="J409" i="2"/>
  <c r="H409" i="2" s="1"/>
  <c r="T139" i="2"/>
  <c r="R139" i="2" s="1"/>
  <c r="J139" i="2"/>
  <c r="H139" i="2" s="1"/>
  <c r="T402" i="2"/>
  <c r="O402" i="2"/>
  <c r="J402" i="2"/>
  <c r="T279" i="2"/>
  <c r="R279" i="2" s="1"/>
  <c r="O279" i="2"/>
  <c r="M279" i="2" s="1"/>
  <c r="J279" i="2"/>
  <c r="H279" i="2" s="1"/>
  <c r="T275" i="2"/>
  <c r="R275" i="2" s="1"/>
  <c r="O275" i="2"/>
  <c r="M275" i="2" s="1"/>
  <c r="J275" i="2"/>
  <c r="H275" i="2" s="1"/>
  <c r="T271" i="2"/>
  <c r="R271" i="2" s="1"/>
  <c r="O271" i="2"/>
  <c r="M271" i="2" s="1"/>
  <c r="J271" i="2"/>
  <c r="H271" i="2" s="1"/>
  <c r="T268" i="2"/>
  <c r="R268" i="2" s="1"/>
  <c r="O268" i="2"/>
  <c r="M268" i="2" s="1"/>
  <c r="J268" i="2"/>
  <c r="H268" i="2" s="1"/>
  <c r="T264" i="2"/>
  <c r="R264" i="2" s="1"/>
  <c r="J264" i="2"/>
  <c r="H264" i="2" s="1"/>
  <c r="T260" i="2"/>
  <c r="R260" i="2" s="1"/>
  <c r="J260" i="2"/>
  <c r="H260" i="2" s="1"/>
  <c r="T257" i="2"/>
  <c r="R257" i="2" s="1"/>
  <c r="J257" i="2"/>
  <c r="H257" i="2" s="1"/>
  <c r="T133" i="2"/>
  <c r="R133" i="2" s="1"/>
  <c r="O133" i="2"/>
  <c r="M133" i="2" s="1"/>
  <c r="J133" i="2"/>
  <c r="H133" i="2" s="1"/>
  <c r="T129" i="2"/>
  <c r="R129" i="2" s="1"/>
  <c r="O129" i="2"/>
  <c r="M129" i="2" s="1"/>
  <c r="J129" i="2"/>
  <c r="H129" i="2" s="1"/>
  <c r="T126" i="2"/>
  <c r="R126" i="2" s="1"/>
  <c r="J126" i="2"/>
  <c r="H126" i="2" s="1"/>
  <c r="T122" i="2"/>
  <c r="R122" i="2" s="1"/>
  <c r="O122" i="2"/>
  <c r="M122" i="2" s="1"/>
  <c r="J122" i="2"/>
  <c r="H122" i="2" s="1"/>
  <c r="T118" i="2"/>
  <c r="R118" i="2" s="1"/>
  <c r="O118" i="2"/>
  <c r="M118" i="2" s="1"/>
  <c r="J118" i="2"/>
  <c r="H118" i="2" s="1"/>
  <c r="T116" i="2"/>
  <c r="R116" i="2" s="1"/>
  <c r="J116" i="2"/>
  <c r="H116" i="2" s="1"/>
  <c r="T396" i="2"/>
  <c r="R396" i="2" s="1"/>
  <c r="O396" i="2"/>
  <c r="M396" i="2" s="1"/>
  <c r="J396" i="2"/>
  <c r="H396" i="2" s="1"/>
  <c r="T392" i="2"/>
  <c r="R392" i="2" s="1"/>
  <c r="O392" i="2"/>
  <c r="M392" i="2" s="1"/>
  <c r="J392" i="2"/>
  <c r="H392" i="2" s="1"/>
  <c r="T389" i="2"/>
  <c r="R389" i="2" s="1"/>
  <c r="O389" i="2"/>
  <c r="M389" i="2" s="1"/>
  <c r="J389" i="2"/>
  <c r="H389" i="2" s="1"/>
  <c r="T385" i="2"/>
  <c r="R385" i="2" s="1"/>
  <c r="O385" i="2"/>
  <c r="M385" i="2" s="1"/>
  <c r="J385" i="2"/>
  <c r="H385" i="2" s="1"/>
  <c r="T381" i="2"/>
  <c r="R381" i="2" s="1"/>
  <c r="O381" i="2"/>
  <c r="M381" i="2" s="1"/>
  <c r="J381" i="2"/>
  <c r="H381" i="2" s="1"/>
  <c r="T378" i="2"/>
  <c r="R378" i="2" s="1"/>
  <c r="J378" i="2"/>
  <c r="H378" i="2" s="1"/>
  <c r="T374" i="2"/>
  <c r="R374" i="2" s="1"/>
  <c r="O374" i="2"/>
  <c r="M374" i="2" s="1"/>
  <c r="J374" i="2"/>
  <c r="H374" i="2" s="1"/>
  <c r="T255" i="2"/>
  <c r="R255" i="2" s="1"/>
  <c r="O255" i="2"/>
  <c r="M255" i="2" s="1"/>
  <c r="J255" i="2"/>
  <c r="H255" i="2" s="1"/>
  <c r="T252" i="2"/>
  <c r="R252" i="2" s="1"/>
  <c r="O252" i="2"/>
  <c r="M252" i="2" s="1"/>
  <c r="J252" i="2"/>
  <c r="H252" i="2" s="1"/>
  <c r="T248" i="2"/>
  <c r="R248" i="2" s="1"/>
  <c r="O248" i="2"/>
  <c r="M248" i="2" s="1"/>
  <c r="J248" i="2"/>
  <c r="H248" i="2" s="1"/>
  <c r="T112" i="2"/>
  <c r="R112" i="2" s="1"/>
  <c r="J112" i="2"/>
  <c r="H112" i="2" s="1"/>
  <c r="T241" i="2"/>
  <c r="R241" i="2" s="1"/>
  <c r="J241" i="2"/>
  <c r="H241" i="2" s="1"/>
  <c r="T237" i="2"/>
  <c r="R237" i="2" s="1"/>
  <c r="J237" i="2"/>
  <c r="H237" i="2" s="1"/>
  <c r="T234" i="2"/>
  <c r="R234" i="2" s="1"/>
  <c r="O234" i="2"/>
  <c r="M234" i="2" s="1"/>
  <c r="J234" i="2"/>
  <c r="H234" i="2" s="1"/>
  <c r="T230" i="2"/>
  <c r="R230" i="2" s="1"/>
  <c r="J230" i="2"/>
  <c r="H230" i="2" s="1"/>
  <c r="T226" i="2"/>
  <c r="O226" i="2"/>
  <c r="J226" i="2"/>
  <c r="T107" i="2"/>
  <c r="R107" i="2" s="1"/>
  <c r="O107" i="2"/>
  <c r="M107" i="2" s="1"/>
  <c r="J107" i="2"/>
  <c r="H107" i="2" s="1"/>
  <c r="T103" i="2"/>
  <c r="R103" i="2" s="1"/>
  <c r="O103" i="2"/>
  <c r="M103" i="2" s="1"/>
  <c r="J103" i="2"/>
  <c r="H103" i="2" s="1"/>
  <c r="T99" i="2"/>
  <c r="R99" i="2" s="1"/>
  <c r="O99" i="2"/>
  <c r="M99" i="2" s="1"/>
  <c r="J99" i="2"/>
  <c r="H99" i="2" s="1"/>
  <c r="T95" i="2"/>
  <c r="R95" i="2" s="1"/>
  <c r="O95" i="2"/>
  <c r="M95" i="2" s="1"/>
  <c r="J95" i="2"/>
  <c r="H95" i="2" s="1"/>
  <c r="T91" i="2"/>
  <c r="R91" i="2" s="1"/>
  <c r="J91" i="2"/>
  <c r="H91" i="2" s="1"/>
  <c r="T87" i="2"/>
  <c r="J87" i="2"/>
  <c r="T368" i="2"/>
  <c r="R368" i="2" s="1"/>
  <c r="O368" i="2"/>
  <c r="M368" i="2" s="1"/>
  <c r="J368" i="2"/>
  <c r="H368" i="2" s="1"/>
  <c r="T364" i="2"/>
  <c r="R364" i="2" s="1"/>
  <c r="O364" i="2"/>
  <c r="M364" i="2" s="1"/>
  <c r="J364" i="2"/>
  <c r="H364" i="2" s="1"/>
  <c r="T360" i="2"/>
  <c r="R360" i="2" s="1"/>
  <c r="O360" i="2"/>
  <c r="M360" i="2" s="1"/>
  <c r="J360" i="2"/>
  <c r="H360" i="2" s="1"/>
  <c r="T357" i="2"/>
  <c r="R357" i="2" s="1"/>
  <c r="O357" i="2"/>
  <c r="M357" i="2" s="1"/>
  <c r="J357" i="2"/>
  <c r="H357" i="2" s="1"/>
  <c r="T353" i="2"/>
  <c r="R353" i="2" s="1"/>
  <c r="O353" i="2"/>
  <c r="M353" i="2" s="1"/>
  <c r="J353" i="2"/>
  <c r="H353" i="2" s="1"/>
  <c r="T84" i="2"/>
  <c r="R84" i="2" s="1"/>
  <c r="O84" i="2"/>
  <c r="M84" i="2" s="1"/>
  <c r="J84" i="2"/>
  <c r="H84" i="2" s="1"/>
  <c r="T346" i="2"/>
  <c r="R346" i="2" s="1"/>
  <c r="J346" i="2"/>
  <c r="H346" i="2" s="1"/>
  <c r="T342" i="2"/>
  <c r="O342" i="2"/>
  <c r="J342" i="2"/>
  <c r="T224" i="2"/>
  <c r="R224" i="2" s="1"/>
  <c r="O224" i="2"/>
  <c r="M224" i="2" s="1"/>
  <c r="J224" i="2"/>
  <c r="H224" i="2" s="1"/>
  <c r="T220" i="2"/>
  <c r="R220" i="2" s="1"/>
  <c r="O220" i="2"/>
  <c r="M220" i="2" s="1"/>
  <c r="J220" i="2"/>
  <c r="H220" i="2" s="1"/>
  <c r="T216" i="2"/>
  <c r="R216" i="2" s="1"/>
  <c r="O216" i="2"/>
  <c r="M216" i="2" s="1"/>
  <c r="J216" i="2"/>
  <c r="H216" i="2" s="1"/>
  <c r="T213" i="2"/>
  <c r="R213" i="2" s="1"/>
  <c r="O213" i="2"/>
  <c r="M213" i="2" s="1"/>
  <c r="J213" i="2"/>
  <c r="H213" i="2" s="1"/>
  <c r="T209" i="2"/>
  <c r="R209" i="2" s="1"/>
  <c r="O209" i="2"/>
  <c r="M209" i="2" s="1"/>
  <c r="J209" i="2"/>
  <c r="H209" i="2" s="1"/>
  <c r="T205" i="2"/>
  <c r="R205" i="2" s="1"/>
  <c r="O205" i="2"/>
  <c r="M205" i="2" s="1"/>
  <c r="J205" i="2"/>
  <c r="H205" i="2" s="1"/>
  <c r="T202" i="2"/>
  <c r="R202" i="2" s="1"/>
  <c r="O202" i="2"/>
  <c r="M202" i="2" s="1"/>
  <c r="J202" i="2"/>
  <c r="H202" i="2" s="1"/>
  <c r="T198" i="2"/>
  <c r="R198" i="2" s="1"/>
  <c r="J198" i="2"/>
  <c r="H198" i="2" s="1"/>
  <c r="T79" i="2"/>
  <c r="R79" i="2" s="1"/>
  <c r="J79" i="2"/>
  <c r="H79" i="2" s="1"/>
  <c r="T75" i="2"/>
  <c r="R75" i="2" s="1"/>
  <c r="O75" i="2"/>
  <c r="M75" i="2" s="1"/>
  <c r="J75" i="2"/>
  <c r="H75" i="2" s="1"/>
  <c r="T71" i="2"/>
  <c r="R71" i="2" s="1"/>
  <c r="O71" i="2"/>
  <c r="M71" i="2" s="1"/>
  <c r="J71" i="2"/>
  <c r="H71" i="2" s="1"/>
  <c r="T67" i="2"/>
  <c r="R67" i="2" s="1"/>
  <c r="J67" i="2"/>
  <c r="H67" i="2" s="1"/>
  <c r="O67" i="2"/>
  <c r="M67" i="2" s="1"/>
  <c r="T63" i="2"/>
  <c r="R63" i="2" s="1"/>
  <c r="J63" i="2"/>
  <c r="H63" i="2" s="1"/>
  <c r="O63" i="2"/>
  <c r="M63" i="2" s="1"/>
  <c r="T59" i="2"/>
  <c r="R59" i="2" s="1"/>
  <c r="J59" i="2"/>
  <c r="H59" i="2" s="1"/>
  <c r="O59" i="2"/>
  <c r="M59" i="2" s="1"/>
  <c r="T56" i="2"/>
  <c r="R56" i="2" s="1"/>
  <c r="J56" i="2"/>
  <c r="H56" i="2" s="1"/>
  <c r="O56" i="2"/>
  <c r="M56" i="2" s="1"/>
  <c r="T336" i="2"/>
  <c r="R336" i="2" s="1"/>
  <c r="J336" i="2"/>
  <c r="H336" i="2" s="1"/>
  <c r="O336" i="2"/>
  <c r="M336" i="2" s="1"/>
  <c r="T332" i="2"/>
  <c r="R332" i="2" s="1"/>
  <c r="J332" i="2"/>
  <c r="H332" i="2" s="1"/>
  <c r="O332" i="2"/>
  <c r="M332" i="2" s="1"/>
  <c r="T329" i="2"/>
  <c r="R329" i="2" s="1"/>
  <c r="J329" i="2"/>
  <c r="H329" i="2" s="1"/>
  <c r="O329" i="2"/>
  <c r="M329" i="2" s="1"/>
  <c r="T325" i="2"/>
  <c r="R325" i="2" s="1"/>
  <c r="J325" i="2"/>
  <c r="H325" i="2" s="1"/>
  <c r="O325" i="2"/>
  <c r="M325" i="2" s="1"/>
  <c r="T321" i="2"/>
  <c r="R321" i="2" s="1"/>
  <c r="J321" i="2"/>
  <c r="H321" i="2" s="1"/>
  <c r="O321" i="2"/>
  <c r="M321" i="2" s="1"/>
  <c r="T318" i="2"/>
  <c r="R318" i="2" s="1"/>
  <c r="J318" i="2"/>
  <c r="H318" i="2" s="1"/>
  <c r="O318" i="2"/>
  <c r="M318" i="2" s="1"/>
  <c r="T314" i="2"/>
  <c r="R314" i="2" s="1"/>
  <c r="J314" i="2"/>
  <c r="H314" i="2" s="1"/>
  <c r="T195" i="2"/>
  <c r="R195" i="2" s="1"/>
  <c r="J195" i="2"/>
  <c r="H195" i="2" s="1"/>
  <c r="O195" i="2"/>
  <c r="M195" i="2" s="1"/>
  <c r="T192" i="2"/>
  <c r="R192" i="2" s="1"/>
  <c r="J192" i="2"/>
  <c r="H192" i="2" s="1"/>
  <c r="O192" i="2"/>
  <c r="M192" i="2" s="1"/>
  <c r="T188" i="2"/>
  <c r="R188" i="2" s="1"/>
  <c r="J188" i="2"/>
  <c r="H188" i="2" s="1"/>
  <c r="O188" i="2"/>
  <c r="M188" i="2" s="1"/>
  <c r="T181" i="2"/>
  <c r="R181" i="2" s="1"/>
  <c r="J181" i="2"/>
  <c r="H181" i="2" s="1"/>
  <c r="O181" i="2"/>
  <c r="M181" i="2" s="1"/>
  <c r="T177" i="2"/>
  <c r="R177" i="2" s="1"/>
  <c r="J177" i="2"/>
  <c r="H177" i="2" s="1"/>
  <c r="O177" i="2"/>
  <c r="M177" i="2" s="1"/>
  <c r="T174" i="2"/>
  <c r="R174" i="2" s="1"/>
  <c r="J174" i="2"/>
  <c r="H174" i="2" s="1"/>
  <c r="J170" i="2"/>
  <c r="H170" i="2" s="1"/>
  <c r="O170" i="2"/>
  <c r="M170" i="2" s="1"/>
  <c r="J167" i="2"/>
  <c r="O167" i="2"/>
  <c r="T50" i="2"/>
  <c r="R50" i="2" s="1"/>
  <c r="J50" i="2"/>
  <c r="H50" i="2" s="1"/>
  <c r="O50" i="2"/>
  <c r="M50" i="2" s="1"/>
  <c r="T46" i="2"/>
  <c r="R46" i="2" s="1"/>
  <c r="J46" i="2"/>
  <c r="H46" i="2" s="1"/>
  <c r="O46" i="2"/>
  <c r="M46" i="2" s="1"/>
  <c r="T42" i="2"/>
  <c r="R42" i="2" s="1"/>
  <c r="J42" i="2"/>
  <c r="H42" i="2" s="1"/>
  <c r="O42" i="2"/>
  <c r="M42" i="2" s="1"/>
  <c r="T39" i="2"/>
  <c r="R39" i="2" s="1"/>
  <c r="J39" i="2"/>
  <c r="H39" i="2" s="1"/>
  <c r="O39" i="2"/>
  <c r="M39" i="2" s="1"/>
  <c r="T35" i="2"/>
  <c r="R35" i="2" s="1"/>
  <c r="J35" i="2"/>
  <c r="H35" i="2" s="1"/>
  <c r="O35" i="2"/>
  <c r="M35" i="2" s="1"/>
  <c r="T31" i="2"/>
  <c r="R31" i="2" s="1"/>
  <c r="O31" i="2"/>
  <c r="M31" i="2" s="1"/>
  <c r="J31" i="2"/>
  <c r="H31" i="2" s="1"/>
  <c r="T306" i="2"/>
  <c r="R306" i="2" s="1"/>
  <c r="O306" i="2"/>
  <c r="M306" i="2" s="1"/>
  <c r="J306" i="2"/>
  <c r="H306" i="2" s="1"/>
  <c r="T302" i="2"/>
  <c r="R302" i="2" s="1"/>
  <c r="O302" i="2"/>
  <c r="M302" i="2" s="1"/>
  <c r="J302" i="2"/>
  <c r="H302" i="2" s="1"/>
  <c r="T299" i="2"/>
  <c r="R299" i="2" s="1"/>
  <c r="O299" i="2"/>
  <c r="M299" i="2" s="1"/>
  <c r="J299" i="2"/>
  <c r="H299" i="2" s="1"/>
  <c r="T295" i="2"/>
  <c r="R295" i="2" s="1"/>
  <c r="O295" i="2"/>
  <c r="M295" i="2" s="1"/>
  <c r="J295" i="2"/>
  <c r="H295" i="2" s="1"/>
  <c r="T291" i="2"/>
  <c r="R291" i="2" s="1"/>
  <c r="O291" i="2"/>
  <c r="M291" i="2" s="1"/>
  <c r="J291" i="2"/>
  <c r="H291" i="2" s="1"/>
  <c r="T288" i="2"/>
  <c r="R288" i="2" s="1"/>
  <c r="O288" i="2"/>
  <c r="M288" i="2" s="1"/>
  <c r="J288" i="2"/>
  <c r="H288" i="2" s="1"/>
  <c r="T284" i="2"/>
  <c r="R284" i="2" s="1"/>
  <c r="J284" i="2"/>
  <c r="H284" i="2" s="1"/>
  <c r="T28" i="2"/>
  <c r="R28" i="2" s="1"/>
  <c r="O28" i="2"/>
  <c r="M28" i="2" s="1"/>
  <c r="J28" i="2"/>
  <c r="H28" i="2" s="1"/>
  <c r="T163" i="2"/>
  <c r="R163" i="2" s="1"/>
  <c r="O163" i="2"/>
  <c r="M163" i="2" s="1"/>
  <c r="J163" i="2"/>
  <c r="H163" i="2" s="1"/>
  <c r="T160" i="2"/>
  <c r="R160" i="2" s="1"/>
  <c r="O160" i="2"/>
  <c r="M160" i="2" s="1"/>
  <c r="J160" i="2"/>
  <c r="H160" i="2" s="1"/>
  <c r="T156" i="2"/>
  <c r="R156" i="2" s="1"/>
  <c r="O156" i="2"/>
  <c r="M156" i="2" s="1"/>
  <c r="J156" i="2"/>
  <c r="H156" i="2" s="1"/>
  <c r="T152" i="2"/>
  <c r="R152" i="2" s="1"/>
  <c r="O152" i="2"/>
  <c r="M152" i="2" s="1"/>
  <c r="J152" i="2"/>
  <c r="H152" i="2" s="1"/>
  <c r="T149" i="2"/>
  <c r="R149" i="2" s="1"/>
  <c r="O149" i="2"/>
  <c r="M149" i="2" s="1"/>
  <c r="J149" i="2"/>
  <c r="H149" i="2" s="1"/>
  <c r="T145" i="2"/>
  <c r="R145" i="2" s="1"/>
  <c r="J145" i="2"/>
  <c r="H145" i="2" s="1"/>
  <c r="T25" i="2"/>
  <c r="R25" i="2" s="1"/>
  <c r="O25" i="2"/>
  <c r="M25" i="2" s="1"/>
  <c r="J25" i="2"/>
  <c r="H25" i="2" s="1"/>
  <c r="T21" i="2"/>
  <c r="R21" i="2" s="1"/>
  <c r="O21" i="2"/>
  <c r="M21" i="2" s="1"/>
  <c r="J21" i="2"/>
  <c r="H21" i="2" s="1"/>
  <c r="T17" i="2"/>
  <c r="R17" i="2" s="1"/>
  <c r="O17" i="2"/>
  <c r="M17" i="2" s="1"/>
  <c r="J17" i="2"/>
  <c r="H17" i="2" s="1"/>
  <c r="T13" i="2"/>
  <c r="R13" i="2" s="1"/>
  <c r="J13" i="2"/>
  <c r="H13" i="2" s="1"/>
  <c r="T9" i="2"/>
  <c r="R9" i="2" s="1"/>
  <c r="O9" i="2"/>
  <c r="M9" i="2" s="1"/>
  <c r="J9" i="2"/>
  <c r="H9" i="2" s="1"/>
  <c r="T5" i="2"/>
  <c r="R5" i="2" s="1"/>
  <c r="O5" i="2"/>
  <c r="M5" i="2" s="1"/>
  <c r="J5" i="2"/>
  <c r="H5" i="2" s="1"/>
  <c r="T426" i="2"/>
  <c r="R426" i="2" s="1"/>
  <c r="O426" i="2"/>
  <c r="M426" i="2" s="1"/>
  <c r="J426" i="2"/>
  <c r="H426" i="2" s="1"/>
  <c r="T423" i="2"/>
  <c r="R423" i="2" s="1"/>
  <c r="O423" i="2"/>
  <c r="M423" i="2" s="1"/>
  <c r="J423" i="2"/>
  <c r="H423" i="2" s="1"/>
  <c r="T419" i="2"/>
  <c r="R419" i="2" s="1"/>
  <c r="O419" i="2"/>
  <c r="M419" i="2" s="1"/>
  <c r="J419" i="2"/>
  <c r="H419" i="2" s="1"/>
  <c r="T140" i="2"/>
  <c r="R140" i="2" s="1"/>
  <c r="O140" i="2"/>
  <c r="M140" i="2" s="1"/>
  <c r="J140" i="2"/>
  <c r="H140" i="2" s="1"/>
  <c r="T412" i="2"/>
  <c r="R412" i="2" s="1"/>
  <c r="O412" i="2"/>
  <c r="M412" i="2" s="1"/>
  <c r="J412" i="2"/>
  <c r="H412" i="2" s="1"/>
  <c r="T408" i="2"/>
  <c r="R408" i="2" s="1"/>
  <c r="O408" i="2"/>
  <c r="M408" i="2" s="1"/>
  <c r="J408" i="2"/>
  <c r="H408" i="2" s="1"/>
  <c r="T405" i="2"/>
  <c r="R405" i="2" s="1"/>
  <c r="O405" i="2"/>
  <c r="M405" i="2" s="1"/>
  <c r="J405" i="2"/>
  <c r="H405" i="2" s="1"/>
  <c r="J401" i="2"/>
  <c r="T278" i="2"/>
  <c r="R278" i="2" s="1"/>
  <c r="O278" i="2"/>
  <c r="M278" i="2" s="1"/>
  <c r="J278" i="2"/>
  <c r="H278" i="2" s="1"/>
  <c r="T274" i="2"/>
  <c r="R274" i="2" s="1"/>
  <c r="O274" i="2"/>
  <c r="M274" i="2" s="1"/>
  <c r="J274" i="2"/>
  <c r="H274" i="2" s="1"/>
  <c r="T270" i="2"/>
  <c r="R270" i="2" s="1"/>
  <c r="O270" i="2"/>
  <c r="M270" i="2" s="1"/>
  <c r="J270" i="2"/>
  <c r="H270" i="2" s="1"/>
  <c r="T267" i="2"/>
  <c r="R267" i="2" s="1"/>
  <c r="O267" i="2"/>
  <c r="M267" i="2" s="1"/>
  <c r="J267" i="2"/>
  <c r="H267" i="2" s="1"/>
  <c r="T263" i="2"/>
  <c r="R263" i="2" s="1"/>
  <c r="J263" i="2"/>
  <c r="H263" i="2" s="1"/>
  <c r="T256" i="2"/>
  <c r="O256" i="2"/>
  <c r="J256" i="2"/>
  <c r="T136" i="2"/>
  <c r="R136" i="2" s="1"/>
  <c r="O136" i="2"/>
  <c r="M136" i="2" s="1"/>
  <c r="J136" i="2"/>
  <c r="H136" i="2" s="1"/>
  <c r="T132" i="2"/>
  <c r="R132" i="2" s="1"/>
  <c r="O132" i="2"/>
  <c r="M132" i="2" s="1"/>
  <c r="J132" i="2"/>
  <c r="H132" i="2" s="1"/>
  <c r="T128" i="2"/>
  <c r="R128" i="2" s="1"/>
  <c r="O128" i="2"/>
  <c r="M128" i="2" s="1"/>
  <c r="J128" i="2"/>
  <c r="H128" i="2" s="1"/>
  <c r="T125" i="2"/>
  <c r="R125" i="2" s="1"/>
  <c r="J125" i="2"/>
  <c r="H125" i="2" s="1"/>
  <c r="T121" i="2"/>
  <c r="R121" i="2" s="1"/>
  <c r="O121" i="2"/>
  <c r="M121" i="2" s="1"/>
  <c r="J121" i="2"/>
  <c r="H121" i="2" s="1"/>
  <c r="T117" i="2"/>
  <c r="O117" i="2"/>
  <c r="J117" i="2"/>
  <c r="T399" i="2"/>
  <c r="R399" i="2" s="1"/>
  <c r="O399" i="2"/>
  <c r="M399" i="2" s="1"/>
  <c r="J399" i="2"/>
  <c r="H399" i="2" s="1"/>
  <c r="T395" i="2"/>
  <c r="R395" i="2" s="1"/>
  <c r="O395" i="2"/>
  <c r="M395" i="2" s="1"/>
  <c r="J395" i="2"/>
  <c r="H395" i="2" s="1"/>
  <c r="T391" i="2"/>
  <c r="R391" i="2" s="1"/>
  <c r="O391" i="2"/>
  <c r="M391" i="2" s="1"/>
  <c r="J391" i="2"/>
  <c r="H391" i="2" s="1"/>
  <c r="T388" i="2"/>
  <c r="R388" i="2" s="1"/>
  <c r="O388" i="2"/>
  <c r="M388" i="2" s="1"/>
  <c r="J388" i="2"/>
  <c r="H388" i="2" s="1"/>
  <c r="T384" i="2"/>
  <c r="R384" i="2" s="1"/>
  <c r="O384" i="2"/>
  <c r="M384" i="2" s="1"/>
  <c r="J384" i="2"/>
  <c r="H384" i="2" s="1"/>
  <c r="T380" i="2"/>
  <c r="R380" i="2" s="1"/>
  <c r="O380" i="2"/>
  <c r="M380" i="2" s="1"/>
  <c r="J380" i="2"/>
  <c r="H380" i="2" s="1"/>
  <c r="T377" i="2"/>
  <c r="R377" i="2" s="1"/>
  <c r="J377" i="2"/>
  <c r="H377" i="2" s="1"/>
  <c r="T373" i="2"/>
  <c r="R373" i="2" s="1"/>
  <c r="O373" i="2"/>
  <c r="M373" i="2" s="1"/>
  <c r="J373" i="2"/>
  <c r="H373" i="2" s="1"/>
  <c r="T113" i="2"/>
  <c r="R113" i="2" s="1"/>
  <c r="J113" i="2"/>
  <c r="H113" i="2" s="1"/>
  <c r="T251" i="2"/>
  <c r="R251" i="2" s="1"/>
  <c r="O251" i="2"/>
  <c r="M251" i="2" s="1"/>
  <c r="J251" i="2"/>
  <c r="H251" i="2" s="1"/>
  <c r="T247" i="2"/>
  <c r="R247" i="2" s="1"/>
  <c r="O247" i="2"/>
  <c r="M247" i="2" s="1"/>
  <c r="J247" i="2"/>
  <c r="H247" i="2" s="1"/>
  <c r="T244" i="2"/>
  <c r="R244" i="2" s="1"/>
  <c r="J244" i="2"/>
  <c r="H244" i="2" s="1"/>
  <c r="T240" i="2"/>
  <c r="R240" i="2" s="1"/>
  <c r="J240" i="2"/>
  <c r="H240" i="2" s="1"/>
  <c r="T236" i="2"/>
  <c r="R236" i="2" s="1"/>
  <c r="J236" i="2"/>
  <c r="H236" i="2" s="1"/>
  <c r="T233" i="2"/>
  <c r="R233" i="2" s="1"/>
  <c r="O233" i="2"/>
  <c r="M233" i="2" s="1"/>
  <c r="J233" i="2"/>
  <c r="H233" i="2" s="1"/>
  <c r="T229" i="2"/>
  <c r="R229" i="2" s="1"/>
  <c r="O229" i="2"/>
  <c r="M229" i="2" s="1"/>
  <c r="J229" i="2"/>
  <c r="H229" i="2" s="1"/>
  <c r="T110" i="2"/>
  <c r="R110" i="2" s="1"/>
  <c r="O110" i="2"/>
  <c r="M110" i="2" s="1"/>
  <c r="J110" i="2"/>
  <c r="H110" i="2" s="1"/>
  <c r="T106" i="2"/>
  <c r="R106" i="2" s="1"/>
  <c r="O106" i="2"/>
  <c r="M106" i="2" s="1"/>
  <c r="J106" i="2"/>
  <c r="H106" i="2" s="1"/>
  <c r="T102" i="2"/>
  <c r="R102" i="2" s="1"/>
  <c r="O102" i="2"/>
  <c r="M102" i="2" s="1"/>
  <c r="J102" i="2"/>
  <c r="H102" i="2" s="1"/>
  <c r="T98" i="2"/>
  <c r="R98" i="2" s="1"/>
  <c r="O98" i="2"/>
  <c r="M98" i="2" s="1"/>
  <c r="J98" i="2"/>
  <c r="H98" i="2" s="1"/>
  <c r="T94" i="2"/>
  <c r="R94" i="2" s="1"/>
  <c r="O94" i="2"/>
  <c r="M94" i="2" s="1"/>
  <c r="J94" i="2"/>
  <c r="H94" i="2" s="1"/>
  <c r="T90" i="2"/>
  <c r="O90" i="2"/>
  <c r="J90" i="2"/>
  <c r="T370" i="2"/>
  <c r="R370" i="2" s="1"/>
  <c r="O370" i="2"/>
  <c r="M370" i="2" s="1"/>
  <c r="J370" i="2"/>
  <c r="H370" i="2" s="1"/>
  <c r="T367" i="2"/>
  <c r="R367" i="2" s="1"/>
  <c r="O367" i="2"/>
  <c r="M367" i="2" s="1"/>
  <c r="J367" i="2"/>
  <c r="H367" i="2" s="1"/>
  <c r="T363" i="2"/>
  <c r="R363" i="2" s="1"/>
  <c r="O363" i="2"/>
  <c r="M363" i="2" s="1"/>
  <c r="J363" i="2"/>
  <c r="H363" i="2" s="1"/>
  <c r="T85" i="2"/>
  <c r="R85" i="2" s="1"/>
  <c r="O85" i="2"/>
  <c r="M85" i="2" s="1"/>
  <c r="J85" i="2"/>
  <c r="H85" i="2" s="1"/>
  <c r="T356" i="2"/>
  <c r="R356" i="2" s="1"/>
  <c r="O356" i="2"/>
  <c r="M356" i="2" s="1"/>
  <c r="J356" i="2"/>
  <c r="H356" i="2" s="1"/>
  <c r="T352" i="2"/>
  <c r="R352" i="2" s="1"/>
  <c r="O352" i="2"/>
  <c r="M352" i="2" s="1"/>
  <c r="J352" i="2"/>
  <c r="H352" i="2" s="1"/>
  <c r="T349" i="2"/>
  <c r="R349" i="2" s="1"/>
  <c r="O349" i="2"/>
  <c r="M349" i="2" s="1"/>
  <c r="J349" i="2"/>
  <c r="H349" i="2" s="1"/>
  <c r="T345" i="2"/>
  <c r="R345" i="2" s="1"/>
  <c r="O345" i="2"/>
  <c r="M345" i="2" s="1"/>
  <c r="J345" i="2"/>
  <c r="H345" i="2" s="1"/>
  <c r="T341" i="2"/>
  <c r="J341" i="2"/>
  <c r="T223" i="2"/>
  <c r="R223" i="2" s="1"/>
  <c r="O223" i="2"/>
  <c r="M223" i="2" s="1"/>
  <c r="J223" i="2"/>
  <c r="H223" i="2" s="1"/>
  <c r="T219" i="2"/>
  <c r="R219" i="2" s="1"/>
  <c r="O219" i="2"/>
  <c r="M219" i="2" s="1"/>
  <c r="J219" i="2"/>
  <c r="H219" i="2" s="1"/>
  <c r="T215" i="2"/>
  <c r="R215" i="2" s="1"/>
  <c r="O215" i="2"/>
  <c r="M215" i="2" s="1"/>
  <c r="J215" i="2"/>
  <c r="H215" i="2" s="1"/>
  <c r="T212" i="2"/>
  <c r="R212" i="2" s="1"/>
  <c r="O212" i="2"/>
  <c r="M212" i="2" s="1"/>
  <c r="J212" i="2"/>
  <c r="H212" i="2" s="1"/>
  <c r="T208" i="2"/>
  <c r="R208" i="2" s="1"/>
  <c r="O208" i="2"/>
  <c r="M208" i="2" s="1"/>
  <c r="J208" i="2"/>
  <c r="H208" i="2" s="1"/>
  <c r="T81" i="2"/>
  <c r="R81" i="2" s="1"/>
  <c r="J81" i="2"/>
  <c r="H81" i="2" s="1"/>
  <c r="T201" i="2"/>
  <c r="O201" i="2"/>
  <c r="J201" i="2"/>
  <c r="T197" i="2"/>
  <c r="R197" i="2" s="1"/>
  <c r="J197" i="2"/>
  <c r="H197" i="2" s="1"/>
  <c r="T78" i="2"/>
  <c r="R78" i="2" s="1"/>
  <c r="O78" i="2"/>
  <c r="M78" i="2" s="1"/>
  <c r="J78" i="2"/>
  <c r="H78" i="2" s="1"/>
  <c r="T74" i="2"/>
  <c r="R74" i="2" s="1"/>
  <c r="O74" i="2"/>
  <c r="M74" i="2" s="1"/>
  <c r="J74" i="2"/>
  <c r="H74" i="2" s="1"/>
  <c r="T70" i="2"/>
  <c r="R70" i="2" s="1"/>
  <c r="O70" i="2"/>
  <c r="M70" i="2" s="1"/>
  <c r="J70" i="2"/>
  <c r="H70" i="2" s="1"/>
  <c r="T66" i="2"/>
  <c r="R66" i="2" s="1"/>
  <c r="O66" i="2"/>
  <c r="M66" i="2" s="1"/>
  <c r="J66" i="2"/>
  <c r="H66" i="2" s="1"/>
  <c r="T62" i="2"/>
  <c r="R62" i="2" s="1"/>
  <c r="O62" i="2"/>
  <c r="M62" i="2" s="1"/>
  <c r="J62" i="2"/>
  <c r="H62" i="2" s="1"/>
  <c r="T58" i="2"/>
  <c r="O58" i="2"/>
  <c r="J58" i="2"/>
  <c r="T339" i="2"/>
  <c r="R339" i="2" s="1"/>
  <c r="O339" i="2"/>
  <c r="M339" i="2" s="1"/>
  <c r="J339" i="2"/>
  <c r="H339" i="2" s="1"/>
  <c r="T335" i="2"/>
  <c r="R335" i="2" s="1"/>
  <c r="O335" i="2"/>
  <c r="M335" i="2" s="1"/>
  <c r="J335" i="2"/>
  <c r="H335" i="2" s="1"/>
  <c r="T331" i="2"/>
  <c r="R331" i="2" s="1"/>
  <c r="O331" i="2"/>
  <c r="M331" i="2" s="1"/>
  <c r="J331" i="2"/>
  <c r="H331" i="2" s="1"/>
  <c r="T328" i="2"/>
  <c r="R328" i="2" s="1"/>
  <c r="O328" i="2"/>
  <c r="M328" i="2" s="1"/>
  <c r="J328" i="2"/>
  <c r="H328" i="2" s="1"/>
  <c r="T324" i="2"/>
  <c r="R324" i="2" s="1"/>
  <c r="O324" i="2"/>
  <c r="M324" i="2" s="1"/>
  <c r="J324" i="2"/>
  <c r="H324" i="2" s="1"/>
  <c r="T320" i="2"/>
  <c r="R320" i="2" s="1"/>
  <c r="O320" i="2"/>
  <c r="M320" i="2" s="1"/>
  <c r="J320" i="2"/>
  <c r="H320" i="2" s="1"/>
  <c r="T317" i="2"/>
  <c r="R317" i="2" s="1"/>
  <c r="O317" i="2"/>
  <c r="M317" i="2" s="1"/>
  <c r="J317" i="2"/>
  <c r="H317" i="2" s="1"/>
  <c r="T313" i="2"/>
  <c r="R313" i="2" s="1"/>
  <c r="J313" i="2"/>
  <c r="H313" i="2" s="1"/>
  <c r="T53" i="2"/>
  <c r="R53" i="2" s="1"/>
  <c r="O53" i="2"/>
  <c r="M53" i="2" s="1"/>
  <c r="J53" i="2"/>
  <c r="H53" i="2" s="1"/>
  <c r="T191" i="2"/>
  <c r="R191" i="2" s="1"/>
  <c r="O191" i="2"/>
  <c r="M191" i="2" s="1"/>
  <c r="J191" i="2"/>
  <c r="H191" i="2" s="1"/>
  <c r="T187" i="2"/>
  <c r="R187" i="2" s="1"/>
  <c r="O187" i="2"/>
  <c r="M187" i="2" s="1"/>
  <c r="J187" i="2"/>
  <c r="H187" i="2" s="1"/>
  <c r="T184" i="2"/>
  <c r="R184" i="2" s="1"/>
  <c r="O184" i="2"/>
  <c r="M184" i="2" s="1"/>
  <c r="J184" i="2"/>
  <c r="H184" i="2" s="1"/>
  <c r="T180" i="2"/>
  <c r="R180" i="2" s="1"/>
  <c r="O180" i="2"/>
  <c r="M180" i="2" s="1"/>
  <c r="J180" i="2"/>
  <c r="H180" i="2" s="1"/>
  <c r="T176" i="2"/>
  <c r="R176" i="2" s="1"/>
  <c r="O176" i="2"/>
  <c r="M176" i="2" s="1"/>
  <c r="J176" i="2"/>
  <c r="H176" i="2" s="1"/>
  <c r="T173" i="2"/>
  <c r="R173" i="2" s="1"/>
  <c r="J173" i="2"/>
  <c r="H173" i="2" s="1"/>
  <c r="J169" i="2"/>
  <c r="H169" i="2" s="1"/>
  <c r="T52" i="2"/>
  <c r="R52" i="2" s="1"/>
  <c r="O52" i="2"/>
  <c r="M52" i="2" s="1"/>
  <c r="J52" i="2"/>
  <c r="H52" i="2" s="1"/>
  <c r="T49" i="2"/>
  <c r="R49" i="2" s="1"/>
  <c r="O49" i="2"/>
  <c r="M49" i="2" s="1"/>
  <c r="J49" i="2"/>
  <c r="H49" i="2" s="1"/>
  <c r="T45" i="2"/>
  <c r="R45" i="2" s="1"/>
  <c r="O45" i="2"/>
  <c r="M45" i="2" s="1"/>
  <c r="J45" i="2"/>
  <c r="H45" i="2" s="1"/>
  <c r="T38" i="2"/>
  <c r="R38" i="2" s="1"/>
  <c r="O38" i="2"/>
  <c r="M38" i="2" s="1"/>
  <c r="J38" i="2"/>
  <c r="H38" i="2" s="1"/>
  <c r="T34" i="2"/>
  <c r="R34" i="2" s="1"/>
  <c r="O34" i="2"/>
  <c r="M34" i="2" s="1"/>
  <c r="J34" i="2"/>
  <c r="H34" i="2" s="1"/>
  <c r="T309" i="2"/>
  <c r="R309" i="2" s="1"/>
  <c r="O309" i="2"/>
  <c r="M309" i="2" s="1"/>
  <c r="J309" i="2"/>
  <c r="H309" i="2" s="1"/>
  <c r="T305" i="2"/>
  <c r="R305" i="2" s="1"/>
  <c r="O305" i="2"/>
  <c r="M305" i="2" s="1"/>
  <c r="J305" i="2"/>
  <c r="H305" i="2" s="1"/>
  <c r="T301" i="2"/>
  <c r="R301" i="2" s="1"/>
  <c r="O301" i="2"/>
  <c r="M301" i="2" s="1"/>
  <c r="J301" i="2"/>
  <c r="H301" i="2" s="1"/>
  <c r="T298" i="2"/>
  <c r="R298" i="2" s="1"/>
  <c r="O298" i="2"/>
  <c r="M298" i="2" s="1"/>
  <c r="J298" i="2"/>
  <c r="H298" i="2" s="1"/>
  <c r="T294" i="2"/>
  <c r="R294" i="2" s="1"/>
  <c r="O294" i="2"/>
  <c r="M294" i="2" s="1"/>
  <c r="J294" i="2"/>
  <c r="H294" i="2" s="1"/>
  <c r="T290" i="2"/>
  <c r="R290" i="2" s="1"/>
  <c r="O290" i="2"/>
  <c r="M290" i="2" s="1"/>
  <c r="J290" i="2"/>
  <c r="H290" i="2" s="1"/>
  <c r="T287" i="2"/>
  <c r="R287" i="2" s="1"/>
  <c r="J287" i="2"/>
  <c r="H287" i="2" s="1"/>
  <c r="T283" i="2"/>
  <c r="R283" i="2" s="1"/>
  <c r="J283" i="2"/>
  <c r="H283" i="2" s="1"/>
  <c r="T166" i="2"/>
  <c r="R166" i="2" s="1"/>
  <c r="O166" i="2"/>
  <c r="M166" i="2" s="1"/>
  <c r="J166" i="2"/>
  <c r="H166" i="2" s="1"/>
  <c r="T162" i="2"/>
  <c r="R162" i="2" s="1"/>
  <c r="O162" i="2"/>
  <c r="M162" i="2" s="1"/>
  <c r="J162" i="2"/>
  <c r="H162" i="2" s="1"/>
  <c r="T159" i="2"/>
  <c r="R159" i="2" s="1"/>
  <c r="O159" i="2"/>
  <c r="M159" i="2" s="1"/>
  <c r="J159" i="2"/>
  <c r="H159" i="2" s="1"/>
  <c r="T155" i="2"/>
  <c r="R155" i="2" s="1"/>
  <c r="O155" i="2"/>
  <c r="M155" i="2" s="1"/>
  <c r="J155" i="2"/>
  <c r="H155" i="2" s="1"/>
  <c r="T151" i="2"/>
  <c r="R151" i="2" s="1"/>
  <c r="O151" i="2"/>
  <c r="M151" i="2" s="1"/>
  <c r="J151" i="2"/>
  <c r="H151" i="2" s="1"/>
  <c r="T148" i="2"/>
  <c r="R148" i="2" s="1"/>
  <c r="O148" i="2"/>
  <c r="M148" i="2" s="1"/>
  <c r="J148" i="2"/>
  <c r="H148" i="2" s="1"/>
  <c r="T144" i="2"/>
  <c r="R144" i="2" s="1"/>
  <c r="O144" i="2"/>
  <c r="M144" i="2" s="1"/>
  <c r="J144" i="2"/>
  <c r="H144" i="2" s="1"/>
  <c r="T24" i="2"/>
  <c r="R24" i="2" s="1"/>
  <c r="J24" i="2"/>
  <c r="H24" i="2" s="1"/>
  <c r="T20" i="2"/>
  <c r="R20" i="2" s="1"/>
  <c r="O20" i="2"/>
  <c r="M20" i="2" s="1"/>
  <c r="J20" i="2"/>
  <c r="H20" i="2" s="1"/>
  <c r="T16" i="2"/>
  <c r="R16" i="2" s="1"/>
  <c r="O16" i="2"/>
  <c r="M16" i="2" s="1"/>
  <c r="J16" i="2"/>
  <c r="H16" i="2" s="1"/>
  <c r="T12" i="2"/>
  <c r="R12" i="2" s="1"/>
  <c r="O12" i="2"/>
  <c r="M12" i="2" s="1"/>
  <c r="J12" i="2"/>
  <c r="H12" i="2" s="1"/>
  <c r="T8" i="2"/>
  <c r="R8" i="2" s="1"/>
  <c r="O8" i="2"/>
  <c r="M8" i="2" s="1"/>
  <c r="J8" i="2"/>
  <c r="H8" i="2" s="1"/>
  <c r="T4" i="2"/>
  <c r="R4" i="2" s="1"/>
  <c r="O4" i="2"/>
  <c r="M4" i="2" s="1"/>
  <c r="J4" i="2"/>
  <c r="H4" i="2" s="1"/>
  <c r="T141" i="2"/>
  <c r="R141" i="2" s="1"/>
  <c r="O141" i="2"/>
  <c r="M141" i="2" s="1"/>
  <c r="J141" i="2"/>
  <c r="H141" i="2" s="1"/>
  <c r="T422" i="2"/>
  <c r="R422" i="2" s="1"/>
  <c r="O422" i="2"/>
  <c r="M422" i="2" s="1"/>
  <c r="J422" i="2"/>
  <c r="H422" i="2" s="1"/>
  <c r="T418" i="2"/>
  <c r="R418" i="2" s="1"/>
  <c r="O418" i="2"/>
  <c r="M418" i="2" s="1"/>
  <c r="J418" i="2"/>
  <c r="H418" i="2" s="1"/>
  <c r="T415" i="2"/>
  <c r="R415" i="2" s="1"/>
  <c r="O415" i="2"/>
  <c r="M415" i="2" s="1"/>
  <c r="J415" i="2"/>
  <c r="H415" i="2" s="1"/>
  <c r="T411" i="2"/>
  <c r="R411" i="2" s="1"/>
  <c r="O411" i="2"/>
  <c r="M411" i="2" s="1"/>
  <c r="J411" i="2"/>
  <c r="H411" i="2" s="1"/>
  <c r="T407" i="2"/>
  <c r="R407" i="2" s="1"/>
  <c r="O407" i="2"/>
  <c r="M407" i="2" s="1"/>
  <c r="J407" i="2"/>
  <c r="H407" i="2" s="1"/>
  <c r="T404" i="2"/>
  <c r="R404" i="2" s="1"/>
  <c r="O404" i="2"/>
  <c r="M404" i="2" s="1"/>
  <c r="J404" i="2"/>
  <c r="H404" i="2" s="1"/>
  <c r="T280" i="2"/>
  <c r="R280" i="2" s="1"/>
  <c r="O280" i="2"/>
  <c r="M280" i="2" s="1"/>
  <c r="J280" i="2"/>
  <c r="H280" i="2" s="1"/>
  <c r="T277" i="2"/>
  <c r="R277" i="2" s="1"/>
  <c r="O277" i="2"/>
  <c r="M277" i="2" s="1"/>
  <c r="J277" i="2"/>
  <c r="H277" i="2" s="1"/>
  <c r="T273" i="2"/>
  <c r="R273" i="2" s="1"/>
  <c r="O273" i="2"/>
  <c r="M273" i="2" s="1"/>
  <c r="J273" i="2"/>
  <c r="H273" i="2" s="1"/>
  <c r="T266" i="2"/>
  <c r="R266" i="2" s="1"/>
  <c r="O266" i="2"/>
  <c r="M266" i="2" s="1"/>
  <c r="J266" i="2"/>
  <c r="H266" i="2" s="1"/>
  <c r="T262" i="2"/>
  <c r="R262" i="2" s="1"/>
  <c r="J262" i="2"/>
  <c r="H262" i="2" s="1"/>
  <c r="T259" i="2"/>
  <c r="R259" i="2" s="1"/>
  <c r="J259" i="2"/>
  <c r="H259" i="2" s="1"/>
  <c r="T135" i="2"/>
  <c r="R135" i="2" s="1"/>
  <c r="O135" i="2"/>
  <c r="M135" i="2" s="1"/>
  <c r="J135" i="2"/>
  <c r="H135" i="2" s="1"/>
  <c r="T131" i="2"/>
  <c r="R131" i="2" s="1"/>
  <c r="O131" i="2"/>
  <c r="M131" i="2" s="1"/>
  <c r="J131" i="2"/>
  <c r="H131" i="2" s="1"/>
  <c r="T127" i="2"/>
  <c r="R127" i="2" s="1"/>
  <c r="J127" i="2"/>
  <c r="H127" i="2" s="1"/>
  <c r="T124" i="2"/>
  <c r="R124" i="2" s="1"/>
  <c r="J124" i="2"/>
  <c r="H124" i="2" s="1"/>
  <c r="T120" i="2"/>
  <c r="R120" i="2" s="1"/>
  <c r="O120" i="2"/>
  <c r="M120" i="2" s="1"/>
  <c r="J120" i="2"/>
  <c r="H120" i="2" s="1"/>
  <c r="T398" i="2"/>
  <c r="R398" i="2" s="1"/>
  <c r="O398" i="2"/>
  <c r="M398" i="2" s="1"/>
  <c r="J398" i="2"/>
  <c r="H398" i="2" s="1"/>
  <c r="T394" i="2"/>
  <c r="R394" i="2" s="1"/>
  <c r="O394" i="2"/>
  <c r="M394" i="2" s="1"/>
  <c r="J394" i="2"/>
  <c r="H394" i="2" s="1"/>
  <c r="T390" i="2"/>
  <c r="R390" i="2" s="1"/>
  <c r="O390" i="2"/>
  <c r="M390" i="2" s="1"/>
  <c r="J390" i="2"/>
  <c r="H390" i="2" s="1"/>
  <c r="T387" i="2"/>
  <c r="R387" i="2" s="1"/>
  <c r="O387" i="2"/>
  <c r="M387" i="2" s="1"/>
  <c r="J387" i="2"/>
  <c r="H387" i="2" s="1"/>
  <c r="T383" i="2"/>
  <c r="R383" i="2" s="1"/>
  <c r="O383" i="2"/>
  <c r="M383" i="2" s="1"/>
  <c r="J383" i="2"/>
  <c r="H383" i="2" s="1"/>
  <c r="T114" i="2"/>
  <c r="R114" i="2" s="1"/>
  <c r="J114" i="2"/>
  <c r="H114" i="2" s="1"/>
  <c r="T376" i="2"/>
  <c r="R376" i="2" s="1"/>
  <c r="O376" i="2"/>
  <c r="M376" i="2" s="1"/>
  <c r="J376" i="2"/>
  <c r="H376" i="2" s="1"/>
  <c r="T372" i="2"/>
  <c r="R372" i="2" s="1"/>
  <c r="O372" i="2"/>
  <c r="M372" i="2" s="1"/>
  <c r="J372" i="2"/>
  <c r="H372" i="2" s="1"/>
  <c r="T254" i="2"/>
  <c r="R254" i="2" s="1"/>
  <c r="O254" i="2"/>
  <c r="M254" i="2" s="1"/>
  <c r="J254" i="2"/>
  <c r="H254" i="2" s="1"/>
  <c r="T250" i="2"/>
  <c r="R250" i="2" s="1"/>
  <c r="O250" i="2"/>
  <c r="M250" i="2" s="1"/>
  <c r="J250" i="2"/>
  <c r="H250" i="2" s="1"/>
  <c r="T246" i="2"/>
  <c r="R246" i="2" s="1"/>
  <c r="O246" i="2"/>
  <c r="M246" i="2" s="1"/>
  <c r="J246" i="2"/>
  <c r="H246" i="2" s="1"/>
  <c r="T243" i="2"/>
  <c r="R243" i="2" s="1"/>
  <c r="J243" i="2"/>
  <c r="H243" i="2" s="1"/>
  <c r="T239" i="2"/>
  <c r="R239" i="2" s="1"/>
  <c r="O239" i="2"/>
  <c r="M239" i="2" s="1"/>
  <c r="J239" i="2"/>
  <c r="H239" i="2" s="1"/>
  <c r="T235" i="2"/>
  <c r="R235" i="2" s="1"/>
  <c r="O235" i="2"/>
  <c r="M235" i="2" s="1"/>
  <c r="J235" i="2"/>
  <c r="H235" i="2" s="1"/>
  <c r="T232" i="2"/>
  <c r="R232" i="2" s="1"/>
  <c r="O232" i="2"/>
  <c r="M232" i="2" s="1"/>
  <c r="J232" i="2"/>
  <c r="H232" i="2" s="1"/>
  <c r="T228" i="2"/>
  <c r="R228" i="2" s="1"/>
  <c r="J228" i="2"/>
  <c r="H228" i="2" s="1"/>
  <c r="T109" i="2"/>
  <c r="R109" i="2" s="1"/>
  <c r="J109" i="2"/>
  <c r="H109" i="2" s="1"/>
  <c r="T105" i="2"/>
  <c r="R105" i="2" s="1"/>
  <c r="O105" i="2"/>
  <c r="M105" i="2" s="1"/>
  <c r="J105" i="2"/>
  <c r="H105" i="2" s="1"/>
  <c r="T101" i="2"/>
  <c r="R101" i="2" s="1"/>
  <c r="O101" i="2"/>
  <c r="M101" i="2" s="1"/>
  <c r="J101" i="2"/>
  <c r="H101" i="2" s="1"/>
  <c r="T97" i="2"/>
  <c r="R97" i="2" s="1"/>
  <c r="O97" i="2"/>
  <c r="M97" i="2" s="1"/>
  <c r="J97" i="2"/>
  <c r="H97" i="2" s="1"/>
  <c r="T93" i="2"/>
  <c r="R93" i="2" s="1"/>
  <c r="J93" i="2"/>
  <c r="H93" i="2" s="1"/>
  <c r="T89" i="2"/>
  <c r="R89" i="2" s="1"/>
  <c r="J89" i="2"/>
  <c r="H89" i="2" s="1"/>
  <c r="T86" i="2"/>
  <c r="R86" i="2" s="1"/>
  <c r="J86" i="2"/>
  <c r="H86" i="2" s="1"/>
  <c r="T366" i="2"/>
  <c r="R366" i="2" s="1"/>
  <c r="O366" i="2"/>
  <c r="M366" i="2" s="1"/>
  <c r="J366" i="2"/>
  <c r="H366" i="2" s="1"/>
  <c r="T362" i="2"/>
  <c r="R362" i="2" s="1"/>
  <c r="O362" i="2"/>
  <c r="M362" i="2" s="1"/>
  <c r="J362" i="2"/>
  <c r="H362" i="2" s="1"/>
  <c r="T359" i="2"/>
  <c r="R359" i="2" s="1"/>
  <c r="O359" i="2"/>
  <c r="M359" i="2" s="1"/>
  <c r="J359" i="2"/>
  <c r="H359" i="2" s="1"/>
  <c r="T355" i="2"/>
  <c r="R355" i="2" s="1"/>
  <c r="O355" i="2"/>
  <c r="M355" i="2" s="1"/>
  <c r="J355" i="2"/>
  <c r="H355" i="2" s="1"/>
  <c r="T351" i="2"/>
  <c r="R351" i="2" s="1"/>
  <c r="O351" i="2"/>
  <c r="M351" i="2" s="1"/>
  <c r="J351" i="2"/>
  <c r="H351" i="2" s="1"/>
  <c r="T348" i="2"/>
  <c r="R348" i="2" s="1"/>
  <c r="O348" i="2"/>
  <c r="M348" i="2" s="1"/>
  <c r="J348" i="2"/>
  <c r="H348" i="2" s="1"/>
  <c r="T344" i="2"/>
  <c r="R344" i="2" s="1"/>
  <c r="O344" i="2"/>
  <c r="M344" i="2" s="1"/>
  <c r="J344" i="2"/>
  <c r="H344" i="2" s="1"/>
  <c r="T225" i="2"/>
  <c r="R225" i="2" s="1"/>
  <c r="O225" i="2"/>
  <c r="M225" i="2" s="1"/>
  <c r="J225" i="2"/>
  <c r="H225" i="2" s="1"/>
  <c r="T222" i="2"/>
  <c r="R222" i="2" s="1"/>
  <c r="O222" i="2"/>
  <c r="M222" i="2" s="1"/>
  <c r="J222" i="2"/>
  <c r="H222" i="2" s="1"/>
  <c r="T218" i="2"/>
  <c r="R218" i="2" s="1"/>
  <c r="O218" i="2"/>
  <c r="M218" i="2" s="1"/>
  <c r="J218" i="2"/>
  <c r="H218" i="2" s="1"/>
  <c r="T82" i="2"/>
  <c r="R82" i="2" s="1"/>
  <c r="J82" i="2"/>
  <c r="H82" i="2" s="1"/>
  <c r="T211" i="2"/>
  <c r="R211" i="2" s="1"/>
  <c r="O211" i="2"/>
  <c r="M211" i="2" s="1"/>
  <c r="J211" i="2"/>
  <c r="H211" i="2" s="1"/>
  <c r="T207" i="2"/>
  <c r="R207" i="2" s="1"/>
  <c r="O207" i="2"/>
  <c r="M207" i="2" s="1"/>
  <c r="J207" i="2"/>
  <c r="H207" i="2" s="1"/>
  <c r="T204" i="2"/>
  <c r="R204" i="2" s="1"/>
  <c r="O204" i="2"/>
  <c r="M204" i="2" s="1"/>
  <c r="J204" i="2"/>
  <c r="H204" i="2" s="1"/>
  <c r="T200" i="2"/>
  <c r="R200" i="2" s="1"/>
  <c r="J200" i="2"/>
  <c r="H200" i="2" s="1"/>
  <c r="T196" i="2"/>
  <c r="J196" i="2"/>
  <c r="T77" i="2"/>
  <c r="R77" i="2" s="1"/>
  <c r="O77" i="2"/>
  <c r="M77" i="2" s="1"/>
  <c r="J77" i="2"/>
  <c r="H77" i="2" s="1"/>
  <c r="T73" i="2"/>
  <c r="R73" i="2" s="1"/>
  <c r="O73" i="2"/>
  <c r="M73" i="2" s="1"/>
  <c r="J73" i="2"/>
  <c r="H73" i="2" s="1"/>
  <c r="T69" i="2"/>
  <c r="R69" i="2" s="1"/>
  <c r="J69" i="2"/>
  <c r="H69" i="2" s="1"/>
  <c r="T65" i="2"/>
  <c r="R65" i="2" s="1"/>
  <c r="J65" i="2"/>
  <c r="H65" i="2" s="1"/>
  <c r="T61" i="2"/>
  <c r="R61" i="2" s="1"/>
  <c r="J61" i="2"/>
  <c r="H61" i="2" s="1"/>
  <c r="O61" i="2"/>
  <c r="M61" i="2" s="1"/>
  <c r="T57" i="2"/>
  <c r="J57" i="2"/>
  <c r="T338" i="2"/>
  <c r="R338" i="2" s="1"/>
  <c r="J338" i="2"/>
  <c r="H338" i="2" s="1"/>
  <c r="O338" i="2"/>
  <c r="M338" i="2" s="1"/>
  <c r="T334" i="2"/>
  <c r="R334" i="2" s="1"/>
  <c r="J334" i="2"/>
  <c r="H334" i="2" s="1"/>
  <c r="O334" i="2"/>
  <c r="M334" i="2" s="1"/>
  <c r="T330" i="2"/>
  <c r="R330" i="2" s="1"/>
  <c r="J330" i="2"/>
  <c r="H330" i="2" s="1"/>
  <c r="O330" i="2"/>
  <c r="M330" i="2" s="1"/>
  <c r="T327" i="2"/>
  <c r="R327" i="2" s="1"/>
  <c r="J327" i="2"/>
  <c r="H327" i="2" s="1"/>
  <c r="O327" i="2"/>
  <c r="M327" i="2" s="1"/>
  <c r="T323" i="2"/>
  <c r="R323" i="2" s="1"/>
  <c r="J323" i="2"/>
  <c r="H323" i="2" s="1"/>
  <c r="O323" i="2"/>
  <c r="M323" i="2" s="1"/>
  <c r="T54" i="2"/>
  <c r="R54" i="2" s="1"/>
  <c r="J54" i="2"/>
  <c r="H54" i="2" s="1"/>
  <c r="T316" i="2"/>
  <c r="R316" i="2" s="1"/>
  <c r="J316" i="2"/>
  <c r="H316" i="2" s="1"/>
  <c r="O316" i="2"/>
  <c r="M316" i="2" s="1"/>
  <c r="T312" i="2"/>
  <c r="R312" i="2" s="1"/>
  <c r="J312" i="2"/>
  <c r="H312" i="2" s="1"/>
  <c r="T194" i="2"/>
  <c r="R194" i="2" s="1"/>
  <c r="J194" i="2"/>
  <c r="H194" i="2" s="1"/>
  <c r="O194" i="2"/>
  <c r="M194" i="2" s="1"/>
  <c r="T190" i="2"/>
  <c r="R190" i="2" s="1"/>
  <c r="J190" i="2"/>
  <c r="H190" i="2" s="1"/>
  <c r="O190" i="2"/>
  <c r="M190" i="2" s="1"/>
  <c r="T186" i="2"/>
  <c r="R186" i="2" s="1"/>
  <c r="J186" i="2"/>
  <c r="H186" i="2" s="1"/>
  <c r="O186" i="2"/>
  <c r="M186" i="2" s="1"/>
  <c r="T183" i="2"/>
  <c r="R183" i="2" s="1"/>
  <c r="J183" i="2"/>
  <c r="H183" i="2" s="1"/>
  <c r="O183" i="2"/>
  <c r="M183" i="2" s="1"/>
  <c r="T179" i="2"/>
  <c r="R179" i="2" s="1"/>
  <c r="J179" i="2"/>
  <c r="H179" i="2" s="1"/>
  <c r="O179" i="2"/>
  <c r="M179" i="2" s="1"/>
  <c r="T175" i="2"/>
  <c r="R175" i="2" s="1"/>
  <c r="J175" i="2"/>
  <c r="H175" i="2" s="1"/>
  <c r="T172" i="2"/>
  <c r="R172" i="2" s="1"/>
  <c r="J172" i="2"/>
  <c r="H172" i="2" s="1"/>
  <c r="T48" i="2"/>
  <c r="R48" i="2" s="1"/>
  <c r="J48" i="2"/>
  <c r="H48" i="2" s="1"/>
  <c r="O48" i="2"/>
  <c r="M48" i="2" s="1"/>
  <c r="T44" i="2"/>
  <c r="R44" i="2" s="1"/>
  <c r="J44" i="2"/>
  <c r="H44" i="2" s="1"/>
  <c r="O44" i="2"/>
  <c r="M44" i="2" s="1"/>
  <c r="T41" i="2"/>
  <c r="R41" i="2" s="1"/>
  <c r="J41" i="2"/>
  <c r="H41" i="2" s="1"/>
  <c r="T37" i="2"/>
  <c r="R37" i="2" s="1"/>
  <c r="J37" i="2"/>
  <c r="H37" i="2" s="1"/>
  <c r="T33" i="2"/>
  <c r="R33" i="2" s="1"/>
  <c r="J33" i="2"/>
  <c r="H33" i="2" s="1"/>
  <c r="O33" i="2"/>
  <c r="M33" i="2" s="1"/>
  <c r="R3" i="2" l="1"/>
  <c r="R285" i="2"/>
  <c r="H168" i="2"/>
  <c r="R315" i="2"/>
  <c r="R58" i="2"/>
  <c r="R201" i="2"/>
  <c r="H90" i="2"/>
  <c r="H342" i="2"/>
  <c r="H402" i="2"/>
  <c r="R342" i="2"/>
  <c r="M168" i="2"/>
  <c r="H3" i="2"/>
  <c r="H58" i="2"/>
  <c r="H201" i="2"/>
  <c r="R90" i="2"/>
  <c r="H285" i="2"/>
  <c r="H315" i="2"/>
  <c r="R57" i="2"/>
  <c r="R256" i="2"/>
  <c r="M167" i="2"/>
  <c r="R87" i="2"/>
  <c r="M226" i="2"/>
  <c r="H2" i="2"/>
  <c r="M285" i="2"/>
  <c r="M32" i="2"/>
  <c r="M315" i="2"/>
  <c r="M371" i="2"/>
  <c r="M90" i="2"/>
  <c r="H117" i="2"/>
  <c r="H167" i="2"/>
  <c r="M342" i="2"/>
  <c r="R226" i="2"/>
  <c r="M402" i="2"/>
  <c r="R2" i="2"/>
  <c r="H142" i="2"/>
  <c r="H281" i="2"/>
  <c r="R32" i="2"/>
  <c r="H311" i="2"/>
  <c r="R371" i="2"/>
  <c r="H196" i="2"/>
  <c r="H341" i="2"/>
  <c r="M117" i="2"/>
  <c r="H256" i="2"/>
  <c r="R402" i="2"/>
  <c r="M142" i="2"/>
  <c r="R281" i="2"/>
  <c r="R311" i="2"/>
  <c r="H57" i="2"/>
  <c r="R196" i="2"/>
  <c r="M58" i="2"/>
  <c r="M201" i="2"/>
  <c r="R341" i="2"/>
  <c r="R117" i="2"/>
  <c r="M256" i="2"/>
  <c r="H401" i="2"/>
  <c r="H87" i="2"/>
  <c r="H226" i="2"/>
  <c r="R142" i="2"/>
  <c r="H32" i="2"/>
  <c r="R168" i="2"/>
  <c r="H371" i="2"/>
  <c r="M3" i="2"/>
</calcChain>
</file>

<file path=xl/sharedStrings.xml><?xml version="1.0" encoding="utf-8"?>
<sst xmlns="http://schemas.openxmlformats.org/spreadsheetml/2006/main" count="2225" uniqueCount="596">
  <si>
    <t>Instance</t>
  </si>
  <si>
    <t>capa1</t>
  </si>
  <si>
    <t>capa2</t>
  </si>
  <si>
    <t>capa3</t>
  </si>
  <si>
    <t>capa4</t>
  </si>
  <si>
    <t>capb1</t>
  </si>
  <si>
    <t>capb2</t>
  </si>
  <si>
    <t>capb3</t>
  </si>
  <si>
    <t>capb4</t>
  </si>
  <si>
    <t>capc1</t>
  </si>
  <si>
    <t>capc2</t>
  </si>
  <si>
    <t>capc3</t>
  </si>
  <si>
    <t>capc4</t>
  </si>
  <si>
    <t>i1000_1</t>
  </si>
  <si>
    <t>i1000_10</t>
  </si>
  <si>
    <t>i1000_11</t>
  </si>
  <si>
    <t>i1000_12</t>
  </si>
  <si>
    <t>i1000_13</t>
  </si>
  <si>
    <t>i1000_14</t>
  </si>
  <si>
    <t>i1000_15</t>
  </si>
  <si>
    <t>i1000_16</t>
  </si>
  <si>
    <t>i1000_17</t>
  </si>
  <si>
    <t>i1000_18</t>
  </si>
  <si>
    <t>i1000_19</t>
  </si>
  <si>
    <t>i1000_2</t>
  </si>
  <si>
    <t>i1000_20</t>
  </si>
  <si>
    <t>i1000_3</t>
  </si>
  <si>
    <t>i1000_4</t>
  </si>
  <si>
    <t>i1000_5</t>
  </si>
  <si>
    <t>i1000_6</t>
  </si>
  <si>
    <t>i1000_7</t>
  </si>
  <si>
    <t>i1000_8</t>
  </si>
  <si>
    <t>i1000_9</t>
  </si>
  <si>
    <t>i300_1</t>
  </si>
  <si>
    <t>i300_10</t>
  </si>
  <si>
    <t>i300_11</t>
  </si>
  <si>
    <t>i300_12</t>
  </si>
  <si>
    <t>i300_13</t>
  </si>
  <si>
    <t>i300_14</t>
  </si>
  <si>
    <t>i300_15</t>
  </si>
  <si>
    <t>i300_16</t>
  </si>
  <si>
    <t>i300_17</t>
  </si>
  <si>
    <t>i300_18</t>
  </si>
  <si>
    <t>i300_19</t>
  </si>
  <si>
    <t>i300_2</t>
  </si>
  <si>
    <t>i300_20</t>
  </si>
  <si>
    <t>i300_3</t>
  </si>
  <si>
    <t>i300_4</t>
  </si>
  <si>
    <t>i300_5</t>
  </si>
  <si>
    <t>i300_6</t>
  </si>
  <si>
    <t>i300_7</t>
  </si>
  <si>
    <t>i300_8</t>
  </si>
  <si>
    <t>i300_9</t>
  </si>
  <si>
    <t>i3001500_1</t>
  </si>
  <si>
    <t>i3001500_2</t>
  </si>
  <si>
    <t>i3001500_3</t>
  </si>
  <si>
    <t>i3001500-10</t>
  </si>
  <si>
    <t>i3001500-11</t>
  </si>
  <si>
    <t>i3001500-12</t>
  </si>
  <si>
    <t>i3001500-13</t>
  </si>
  <si>
    <t>i3001500-14</t>
  </si>
  <si>
    <t>i3001500-15</t>
  </si>
  <si>
    <t>i3001500-16</t>
  </si>
  <si>
    <t>i3001500-17</t>
  </si>
  <si>
    <t>i3001500-18</t>
  </si>
  <si>
    <t>i3001500-19</t>
  </si>
  <si>
    <t>i3001500-20</t>
  </si>
  <si>
    <t>i3001500-4</t>
  </si>
  <si>
    <t>i3001500-5</t>
  </si>
  <si>
    <t>i3001500-6</t>
  </si>
  <si>
    <t>i3001500-7</t>
  </si>
  <si>
    <t>i3001500-8</t>
  </si>
  <si>
    <t>i3001500-9</t>
  </si>
  <si>
    <t>i500_1</t>
  </si>
  <si>
    <t>i500_10</t>
  </si>
  <si>
    <t>i500_11</t>
  </si>
  <si>
    <t>i500_12</t>
  </si>
  <si>
    <t>i500_13</t>
  </si>
  <si>
    <t>i500_14</t>
  </si>
  <si>
    <t>i500_15</t>
  </si>
  <si>
    <t>i500_16</t>
  </si>
  <si>
    <t>i500_17</t>
  </si>
  <si>
    <t>i500_18</t>
  </si>
  <si>
    <t>i500_19</t>
  </si>
  <si>
    <t>i500_2</t>
  </si>
  <si>
    <t>i500_20</t>
  </si>
  <si>
    <t>i500_3</t>
  </si>
  <si>
    <t>i500_4</t>
  </si>
  <si>
    <t>i500_5</t>
  </si>
  <si>
    <t>i500_6</t>
  </si>
  <si>
    <t>i500_7</t>
  </si>
  <si>
    <t>i500_8</t>
  </si>
  <si>
    <t>i500_9</t>
  </si>
  <si>
    <t>i700_1</t>
  </si>
  <si>
    <t>i700_10</t>
  </si>
  <si>
    <t>i700_11</t>
  </si>
  <si>
    <t>i700_12</t>
  </si>
  <si>
    <t>i700_13</t>
  </si>
  <si>
    <t>i700_14</t>
  </si>
  <si>
    <t>i700_15</t>
  </si>
  <si>
    <t>i700_16</t>
  </si>
  <si>
    <t>i700_17</t>
  </si>
  <si>
    <t>i700_18</t>
  </si>
  <si>
    <t>i700_19</t>
  </si>
  <si>
    <t>i700_2</t>
  </si>
  <si>
    <t>i700_20</t>
  </si>
  <si>
    <t>i700_3</t>
  </si>
  <si>
    <t>i700_4</t>
  </si>
  <si>
    <t>i700_5</t>
  </si>
  <si>
    <t>i700_6</t>
  </si>
  <si>
    <t>i700_7</t>
  </si>
  <si>
    <t>i700_8</t>
  </si>
  <si>
    <t>i700_9</t>
  </si>
  <si>
    <t>OR4</t>
  </si>
  <si>
    <t>TB5</t>
  </si>
  <si>
    <t>TB1</t>
  </si>
  <si>
    <t>TB2</t>
  </si>
  <si>
    <t>TB3</t>
  </si>
  <si>
    <t>TB4</t>
  </si>
  <si>
    <t>Data Set</t>
  </si>
  <si>
    <t>|I|</t>
  </si>
  <si>
    <t>|J|</t>
  </si>
  <si>
    <t>Best 
(CPLEX)</t>
  </si>
  <si>
    <t>z^H 
(CPLEX)</t>
  </si>
  <si>
    <t>z^UB Gap 
(CPLEX)</t>
  </si>
  <si>
    <t>Best 
(KS14)</t>
  </si>
  <si>
    <t>z^H 
(KS14)</t>
  </si>
  <si>
    <t>z^UB Gap 
(KS14)</t>
  </si>
  <si>
    <t>Best 
(PaKS)</t>
  </si>
  <si>
    <t>z^H 
(PaKS)</t>
  </si>
  <si>
    <t>z^UB Gap 
(PaKS)</t>
  </si>
  <si>
    <t>z^UB</t>
  </si>
  <si>
    <t>z^LB</t>
  </si>
  <si>
    <t>z^LB Gap 
(CPLEX)</t>
  </si>
  <si>
    <t>z^LB Gap 
(KS14)</t>
  </si>
  <si>
    <t>z^LB Gap 
(PaKS)</t>
  </si>
  <si>
    <t>p1000-1000-10</t>
  </si>
  <si>
    <t>p1000-1000-11</t>
  </si>
  <si>
    <t>p1000-1000-12</t>
  </si>
  <si>
    <t>p1000-1000-13</t>
  </si>
  <si>
    <t>p1000-1000-14</t>
  </si>
  <si>
    <t>p1000-1000-15</t>
  </si>
  <si>
    <t>p1000-1000-16</t>
  </si>
  <si>
    <t>p1000-1000-17</t>
  </si>
  <si>
    <t>p1000-1000-18</t>
  </si>
  <si>
    <t>p1000-1000-19</t>
  </si>
  <si>
    <t>p1000-1000-20</t>
  </si>
  <si>
    <t>p1000-1000-21</t>
  </si>
  <si>
    <t>p1000-1000-22</t>
  </si>
  <si>
    <t>p1000-1000-23</t>
  </si>
  <si>
    <t>p1000-1000-24</t>
  </si>
  <si>
    <t>p1000-1000-25</t>
  </si>
  <si>
    <t>p1000-1000-26</t>
  </si>
  <si>
    <t>p1000-1000-27</t>
  </si>
  <si>
    <t>p1000-1000-28</t>
  </si>
  <si>
    <t>p1000-1000-29</t>
  </si>
  <si>
    <t>p1000-1000-30</t>
  </si>
  <si>
    <t>p1000-1000-31</t>
  </si>
  <si>
    <t>p1000-1000-32</t>
  </si>
  <si>
    <t>p1000-1000-34</t>
  </si>
  <si>
    <t>p1000-1000-35</t>
  </si>
  <si>
    <t>p1000-1000-36</t>
  </si>
  <si>
    <t>p1000-1000-37</t>
  </si>
  <si>
    <t>p1000-1000-38</t>
  </si>
  <si>
    <t>p1000-1000-39</t>
  </si>
  <si>
    <t>p1000-1000-40</t>
  </si>
  <si>
    <t>p1000-1000-41</t>
  </si>
  <si>
    <t>p1000-1000-42</t>
  </si>
  <si>
    <t>p1000-1000-43</t>
  </si>
  <si>
    <t>p1000-1000-44</t>
  </si>
  <si>
    <t>p1000-1000-45</t>
  </si>
  <si>
    <t>p1000-1000-46</t>
  </si>
  <si>
    <t>p1000-1000-47</t>
  </si>
  <si>
    <t>p1000-1000-48</t>
  </si>
  <si>
    <t>p1000-1000-49</t>
  </si>
  <si>
    <t>p1000-1000-50</t>
  </si>
  <si>
    <t>p1000-1000-51</t>
  </si>
  <si>
    <t>p1000-1000-52</t>
  </si>
  <si>
    <t>p1000-1000-53</t>
  </si>
  <si>
    <t>p1000-1000-54</t>
  </si>
  <si>
    <t>p1000-1000-55</t>
  </si>
  <si>
    <t>p1000-1000-56</t>
  </si>
  <si>
    <t>p1000-1000-57</t>
  </si>
  <si>
    <t>p1000-1000-58</t>
  </si>
  <si>
    <t>p1000-1000-59</t>
  </si>
  <si>
    <t>p1000-1000-6</t>
  </si>
  <si>
    <t>p1000-1000-60</t>
  </si>
  <si>
    <t>p1200-3000-61</t>
  </si>
  <si>
    <t>p1200-3000-64</t>
  </si>
  <si>
    <t>p1000-4000-64</t>
  </si>
  <si>
    <t>p1000-4000-61</t>
  </si>
  <si>
    <t>p1200-3000-62</t>
  </si>
  <si>
    <t>p1000-1000-7</t>
  </si>
  <si>
    <t>p1200-3000-63</t>
  </si>
  <si>
    <t>p800-4400-65</t>
  </si>
  <si>
    <t>p800-4400-64</t>
  </si>
  <si>
    <t>p1000-4000-62</t>
  </si>
  <si>
    <t>p800-4400-63</t>
  </si>
  <si>
    <t>p1000-4000-63</t>
  </si>
  <si>
    <t>p1000-4000-65</t>
  </si>
  <si>
    <t>p800-4400-62</t>
  </si>
  <si>
    <t>p800-4400-61</t>
  </si>
  <si>
    <t>p800-4400-68</t>
  </si>
  <si>
    <t>p1000-1000-8</t>
  </si>
  <si>
    <t>p1200-3000-67</t>
  </si>
  <si>
    <t>p1000-4000-67</t>
  </si>
  <si>
    <t>p1200-3000-68</t>
  </si>
  <si>
    <t>p800-4400-67</t>
  </si>
  <si>
    <t>p1200-3000-66</t>
  </si>
  <si>
    <t>p1000-4000-70</t>
  </si>
  <si>
    <t>p1000-4000-66</t>
  </si>
  <si>
    <t>p1200-3000-69</t>
  </si>
  <si>
    <t>p1000-4000-75</t>
  </si>
  <si>
    <t>p1000-4000-69</t>
  </si>
  <si>
    <t>p1000-1000-9</t>
  </si>
  <si>
    <t>p2000-2000-74</t>
  </si>
  <si>
    <t>p1000-4000-1</t>
  </si>
  <si>
    <t>p1000-4000-10</t>
  </si>
  <si>
    <t>p1000-4000-11</t>
  </si>
  <si>
    <t>p1000-4000-12</t>
  </si>
  <si>
    <t>p1000-4000-13</t>
  </si>
  <si>
    <t>p1000-4000-14</t>
  </si>
  <si>
    <t>p1000-4000-15</t>
  </si>
  <si>
    <t>p1000-4000-16</t>
  </si>
  <si>
    <t>p1000-4000-17</t>
  </si>
  <si>
    <t>p1000-4000-18</t>
  </si>
  <si>
    <t>p1000-4000-19</t>
  </si>
  <si>
    <t>p1000-4000-2</t>
  </si>
  <si>
    <t>p1000-4000-20</t>
  </si>
  <si>
    <t>p1000-4000-21</t>
  </si>
  <si>
    <t>p1000-4000-22</t>
  </si>
  <si>
    <t>p1000-4000-23</t>
  </si>
  <si>
    <t>p1000-4000-24</t>
  </si>
  <si>
    <t>p1000-4000-25</t>
  </si>
  <si>
    <t>p1000-4000-26</t>
  </si>
  <si>
    <t>p1000-4000-27</t>
  </si>
  <si>
    <t>p1000-4000-28</t>
  </si>
  <si>
    <t>p1000-4000-29</t>
  </si>
  <si>
    <t>p1000-4000-3</t>
  </si>
  <si>
    <t>p1000-4000-30</t>
  </si>
  <si>
    <t>p1000-4000-31</t>
  </si>
  <si>
    <t>p1000-4000-32</t>
  </si>
  <si>
    <t>p1000-4000-33</t>
  </si>
  <si>
    <t>p1000-4000-34</t>
  </si>
  <si>
    <t>p1000-4000-35</t>
  </si>
  <si>
    <t>p1000-4000-36</t>
  </si>
  <si>
    <t>p1000-4000-37</t>
  </si>
  <si>
    <t>p1000-4000-38</t>
  </si>
  <si>
    <t>p1000-4000-39</t>
  </si>
  <si>
    <t>p1000-4000-4</t>
  </si>
  <si>
    <t>p1000-4000-40</t>
  </si>
  <si>
    <t>p1000-4000-41</t>
  </si>
  <si>
    <t>p1000-4000-42</t>
  </si>
  <si>
    <t>p1000-4000-43</t>
  </si>
  <si>
    <t>p1000-4000-44</t>
  </si>
  <si>
    <t>p1000-4000-45</t>
  </si>
  <si>
    <t>p1000-4000-46</t>
  </si>
  <si>
    <t>p1000-4000-47</t>
  </si>
  <si>
    <t>p1000-4000-48</t>
  </si>
  <si>
    <t>p1000-4000-49</t>
  </si>
  <si>
    <t>p1000-4000-5</t>
  </si>
  <si>
    <t>p1000-4000-50</t>
  </si>
  <si>
    <t>p1000-4000-51</t>
  </si>
  <si>
    <t>p1000-4000-52</t>
  </si>
  <si>
    <t>p1000-4000-53</t>
  </si>
  <si>
    <t>p1000-4000-54</t>
  </si>
  <si>
    <t>p1000-4000-55</t>
  </si>
  <si>
    <t>p1000-4000-56</t>
  </si>
  <si>
    <t>p1000-4000-57</t>
  </si>
  <si>
    <t>p1000-4000-58</t>
  </si>
  <si>
    <t>p1000-4000-59</t>
  </si>
  <si>
    <t>p1000-4000-6</t>
  </si>
  <si>
    <t>p1000-4000-60</t>
  </si>
  <si>
    <t>p1000-4000-71</t>
  </si>
  <si>
    <t>p1000-4000-73</t>
  </si>
  <si>
    <t>p800-4400-66</t>
  </si>
  <si>
    <t>p800-4400-79</t>
  </si>
  <si>
    <t>p800-4400-70</t>
  </si>
  <si>
    <t>p1000-4000-74</t>
  </si>
  <si>
    <t>p2000-2000-66</t>
  </si>
  <si>
    <t>p1200-3000-71</t>
  </si>
  <si>
    <t>p1200-3000-72</t>
  </si>
  <si>
    <t>p1000-4000-7</t>
  </si>
  <si>
    <t>p1000-1000-69</t>
  </si>
  <si>
    <t>p1000-4000-68</t>
  </si>
  <si>
    <t>p2000-2000-70</t>
  </si>
  <si>
    <t>p1000-1000-61</t>
  </si>
  <si>
    <t>p800-4400-80</t>
  </si>
  <si>
    <t>p2000-2000-71</t>
  </si>
  <si>
    <t>p1200-3000-76</t>
  </si>
  <si>
    <t>p1000-1000-71</t>
  </si>
  <si>
    <t>p1200-3000-79</t>
  </si>
  <si>
    <t>p1200-3000-70</t>
  </si>
  <si>
    <t>p1000-4000-8</t>
  </si>
  <si>
    <t>p800-4400-71</t>
  </si>
  <si>
    <t>p1200-3000-84</t>
  </si>
  <si>
    <t>p1200-3000-73</t>
  </si>
  <si>
    <t>p1000-1000-68</t>
  </si>
  <si>
    <t>p1200-3000-80</t>
  </si>
  <si>
    <t>p1000-1000-63</t>
  </si>
  <si>
    <t>p2000-2000-67</t>
  </si>
  <si>
    <t>p800-4400-78</t>
  </si>
  <si>
    <t>p1000-4000-72</t>
  </si>
  <si>
    <t>p1000-1000-70</t>
  </si>
  <si>
    <t>p1000-4000-9</t>
  </si>
  <si>
    <t>p800-4400-73</t>
  </si>
  <si>
    <t>p1200-3000-1</t>
  </si>
  <si>
    <t>p1200-3000-10</t>
  </si>
  <si>
    <t>p1200-3000-11</t>
  </si>
  <si>
    <t>p1200-3000-12</t>
  </si>
  <si>
    <t>p1200-3000-13</t>
  </si>
  <si>
    <t>p1200-3000-14</t>
  </si>
  <si>
    <t>p1200-3000-15</t>
  </si>
  <si>
    <t>p1200-3000-16</t>
  </si>
  <si>
    <t>p1200-3000-17</t>
  </si>
  <si>
    <t>p1200-3000-18</t>
  </si>
  <si>
    <t>p1200-3000-19</t>
  </si>
  <si>
    <t>p1200-3000-2</t>
  </si>
  <si>
    <t>p1200-3000-20</t>
  </si>
  <si>
    <t>p1200-3000-21</t>
  </si>
  <si>
    <t>p1200-3000-22</t>
  </si>
  <si>
    <t>p1200-3000-23</t>
  </si>
  <si>
    <t>p1200-3000-24</t>
  </si>
  <si>
    <t>p1200-3000-25</t>
  </si>
  <si>
    <t>p1200-3000-26</t>
  </si>
  <si>
    <t>p1200-3000-27</t>
  </si>
  <si>
    <t>p1200-3000-28</t>
  </si>
  <si>
    <t>p1200-3000-29</t>
  </si>
  <si>
    <t>p1200-3000-3</t>
  </si>
  <si>
    <t>p1200-3000-30</t>
  </si>
  <si>
    <t>p1200-3000-31</t>
  </si>
  <si>
    <t>p1200-3000-32</t>
  </si>
  <si>
    <t>p1200-3000-33</t>
  </si>
  <si>
    <t>p1200-3000-34</t>
  </si>
  <si>
    <t>p1200-3000-35</t>
  </si>
  <si>
    <t>p1200-3000-36</t>
  </si>
  <si>
    <t>p1200-3000-37</t>
  </si>
  <si>
    <t>p1200-3000-38</t>
  </si>
  <si>
    <t>p1200-3000-39</t>
  </si>
  <si>
    <t>p1200-3000-4</t>
  </si>
  <si>
    <t>p1200-3000-40</t>
  </si>
  <si>
    <t>p1200-3000-41</t>
  </si>
  <si>
    <t>p1200-3000-42</t>
  </si>
  <si>
    <t>p1200-3000-43</t>
  </si>
  <si>
    <t>p1200-3000-44</t>
  </si>
  <si>
    <t>p1200-3000-45</t>
  </si>
  <si>
    <t>p1200-3000-46</t>
  </si>
  <si>
    <t>p1200-3000-47</t>
  </si>
  <si>
    <t>p1200-3000-48</t>
  </si>
  <si>
    <t>p1200-3000-49</t>
  </si>
  <si>
    <t>p1200-3000-5</t>
  </si>
  <si>
    <t>p1200-3000-50</t>
  </si>
  <si>
    <t>p1200-3000-51</t>
  </si>
  <si>
    <t>p1200-3000-52</t>
  </si>
  <si>
    <t>p1200-3000-53</t>
  </si>
  <si>
    <t>p1200-3000-54</t>
  </si>
  <si>
    <t>p1200-3000-55</t>
  </si>
  <si>
    <t>p1200-3000-56</t>
  </si>
  <si>
    <t>p1200-3000-57</t>
  </si>
  <si>
    <t>p1200-3000-58</t>
  </si>
  <si>
    <t>p1200-3000-59</t>
  </si>
  <si>
    <t>p1200-3000-6</t>
  </si>
  <si>
    <t>p1200-3000-60</t>
  </si>
  <si>
    <t>p1200-3000-75</t>
  </si>
  <si>
    <t>p1000-4000-80</t>
  </si>
  <si>
    <t>p800-4400-76</t>
  </si>
  <si>
    <t>p1000-1000-66</t>
  </si>
  <si>
    <t>p1000-1000-76</t>
  </si>
  <si>
    <t>p800-4400-69</t>
  </si>
  <si>
    <t>p800-4400-85</t>
  </si>
  <si>
    <t>p1200-3000-86</t>
  </si>
  <si>
    <t>p2000-2000-68</t>
  </si>
  <si>
    <t>p1200-3000-7</t>
  </si>
  <si>
    <t>p2000-2000-83</t>
  </si>
  <si>
    <t>p2000-2000-73</t>
  </si>
  <si>
    <t>p2000-2000-72</t>
  </si>
  <si>
    <t>p800-4400-74</t>
  </si>
  <si>
    <t>p2000-2000-88</t>
  </si>
  <si>
    <t>p1200-3000-90</t>
  </si>
  <si>
    <t>p1000-1000-65</t>
  </si>
  <si>
    <t>p1000-1000-74</t>
  </si>
  <si>
    <t>p1000-1000-64</t>
  </si>
  <si>
    <t>p1000-4000-77</t>
  </si>
  <si>
    <t>p1200-3000-8</t>
  </si>
  <si>
    <t>p2000-2000-76</t>
  </si>
  <si>
    <t>p1000-1000-88</t>
  </si>
  <si>
    <t>p1000-1000-67</t>
  </si>
  <si>
    <t>p1200-3000-74</t>
  </si>
  <si>
    <t>p1000-4000-87</t>
  </si>
  <si>
    <t>p1000-1000-62</t>
  </si>
  <si>
    <t>p1000-4000-84</t>
  </si>
  <si>
    <t>p1000-4000-86</t>
  </si>
  <si>
    <t>p1200-3000-78</t>
  </si>
  <si>
    <t>p800-4400-77</t>
  </si>
  <si>
    <t>p1200-3000-9</t>
  </si>
  <si>
    <t>p1000-4000-79</t>
  </si>
  <si>
    <t>p2000-2000-10</t>
  </si>
  <si>
    <t>p2000-2000-11</t>
  </si>
  <si>
    <t>p2000-2000-12</t>
  </si>
  <si>
    <t>p2000-2000-13</t>
  </si>
  <si>
    <t>p2000-2000-14</t>
  </si>
  <si>
    <t>p2000-2000-15</t>
  </si>
  <si>
    <t>p2000-2000-16</t>
  </si>
  <si>
    <t>p2000-2000-17</t>
  </si>
  <si>
    <t>p2000-2000-18</t>
  </si>
  <si>
    <t>p2000-2000-19</t>
  </si>
  <si>
    <t>p2000-2000-20</t>
  </si>
  <si>
    <t>p2000-2000-21</t>
  </si>
  <si>
    <t>p2000-2000-22</t>
  </si>
  <si>
    <t>p2000-2000-23</t>
  </si>
  <si>
    <t>p2000-2000-24</t>
  </si>
  <si>
    <t>p2000-2000-25</t>
  </si>
  <si>
    <t>p2000-2000-26</t>
  </si>
  <si>
    <t>p2000-2000-27</t>
  </si>
  <si>
    <t>p2000-2000-28</t>
  </si>
  <si>
    <t>p2000-2000-29</t>
  </si>
  <si>
    <t>p2000-2000-30</t>
  </si>
  <si>
    <t>p2000-2000-36</t>
  </si>
  <si>
    <t>p2000-2000-37</t>
  </si>
  <si>
    <t>p2000-2000-38</t>
  </si>
  <si>
    <t>p2000-2000-39</t>
  </si>
  <si>
    <t>p2000-2000-40</t>
  </si>
  <si>
    <t>p2000-2000-41</t>
  </si>
  <si>
    <t>p2000-2000-42</t>
  </si>
  <si>
    <t>p2000-2000-43</t>
  </si>
  <si>
    <t>p2000-2000-44</t>
  </si>
  <si>
    <t>p2000-2000-45</t>
  </si>
  <si>
    <t>p2000-2000-46</t>
  </si>
  <si>
    <t>p2000-2000-47</t>
  </si>
  <si>
    <t>p2000-2000-48</t>
  </si>
  <si>
    <t>p2000-2000-49</t>
  </si>
  <si>
    <t>p2000-2000-50</t>
  </si>
  <si>
    <t>p2000-2000-51</t>
  </si>
  <si>
    <t>p2000-2000-52</t>
  </si>
  <si>
    <t>p2000-2000-53</t>
  </si>
  <si>
    <t>p2000-2000-54</t>
  </si>
  <si>
    <t>p2000-2000-55</t>
  </si>
  <si>
    <t>p2000-2000-56</t>
  </si>
  <si>
    <t>p2000-2000-57</t>
  </si>
  <si>
    <t>p2000-2000-58</t>
  </si>
  <si>
    <t>p2000-2000-59</t>
  </si>
  <si>
    <t>p2000-2000-6</t>
  </si>
  <si>
    <t>p2000-2000-60</t>
  </si>
  <si>
    <t>p1000-4000-88</t>
  </si>
  <si>
    <t>p1200-3000-83</t>
  </si>
  <si>
    <t>p1000-1000-83</t>
  </si>
  <si>
    <t>p1000-4000-90</t>
  </si>
  <si>
    <t>p1200-3000-89</t>
  </si>
  <si>
    <t>p1000-1000-82</t>
  </si>
  <si>
    <t>p1000-4000-82</t>
  </si>
  <si>
    <t>p1000-4000-76</t>
  </si>
  <si>
    <t>p2000-2000-81</t>
  </si>
  <si>
    <t>p2000-2000-7</t>
  </si>
  <si>
    <t>p2000-2000-79</t>
  </si>
  <si>
    <t>p1000-1000-73</t>
  </si>
  <si>
    <t>p1000-4000-89</t>
  </si>
  <si>
    <t>p2000-2000-85</t>
  </si>
  <si>
    <t>p1000-1000-89</t>
  </si>
  <si>
    <t>p800-4400-72</t>
  </si>
  <si>
    <t>p1000-4000-85</t>
  </si>
  <si>
    <t>p800-4400-75</t>
  </si>
  <si>
    <t>p1000-1000-87</t>
  </si>
  <si>
    <t>p2000-2000-86</t>
  </si>
  <si>
    <t>p2000-2000-8</t>
  </si>
  <si>
    <t>p2000-2000-75</t>
  </si>
  <si>
    <t>p1000-1000-72</t>
  </si>
  <si>
    <t>p2000-2000-69</t>
  </si>
  <si>
    <t>p1200-3000-82</t>
  </si>
  <si>
    <t>p1000-1000-81</t>
  </si>
  <si>
    <t>p800-4400-87</t>
  </si>
  <si>
    <t>p1000-4000-83</t>
  </si>
  <si>
    <t>p1200-3000-65</t>
  </si>
  <si>
    <t>p1000-1000-78</t>
  </si>
  <si>
    <t>p1000-4000-78</t>
  </si>
  <si>
    <t>p2000-2000-9</t>
  </si>
  <si>
    <t>p800-4400-88</t>
  </si>
  <si>
    <t>p800-4400-1</t>
  </si>
  <si>
    <t>p800-4400-10</t>
  </si>
  <si>
    <t>p800-4400-11</t>
  </si>
  <si>
    <t>p800-4400-12</t>
  </si>
  <si>
    <t>p800-4400-13</t>
  </si>
  <si>
    <t>p800-4400-14</t>
  </si>
  <si>
    <t>p800-4400-15</t>
  </si>
  <si>
    <t>p800-4400-16</t>
  </si>
  <si>
    <t>p800-4400-17</t>
  </si>
  <si>
    <t>p800-4400-18</t>
  </si>
  <si>
    <t>p800-4400-19</t>
  </si>
  <si>
    <t>p800-4400-2</t>
  </si>
  <si>
    <t>p800-4400-20</t>
  </si>
  <si>
    <t>p800-4400-21</t>
  </si>
  <si>
    <t>p800-4400-22</t>
  </si>
  <si>
    <t>p800-4400-23</t>
  </si>
  <si>
    <t>p800-4400-24</t>
  </si>
  <si>
    <t>p800-4400-25</t>
  </si>
  <si>
    <t>p800-4400-26</t>
  </si>
  <si>
    <t>p800-4400-27</t>
  </si>
  <si>
    <t>p800-4400-28</t>
  </si>
  <si>
    <t>p800-4400-29</t>
  </si>
  <si>
    <t>p800-4400-3</t>
  </si>
  <si>
    <t>p800-4400-30</t>
  </si>
  <si>
    <t>p800-4400-31</t>
  </si>
  <si>
    <t>p800-4400-32</t>
  </si>
  <si>
    <t>p800-4400-33</t>
  </si>
  <si>
    <t>p800-4400-34</t>
  </si>
  <si>
    <t>p800-4400-35</t>
  </si>
  <si>
    <t>p800-4400-36</t>
  </si>
  <si>
    <t>p800-4400-37</t>
  </si>
  <si>
    <t>p800-4400-38</t>
  </si>
  <si>
    <t>p800-4400-39</t>
  </si>
  <si>
    <t>p800-4400-4</t>
  </si>
  <si>
    <t>p800-4400-40</t>
  </si>
  <si>
    <t>p800-4400-41</t>
  </si>
  <si>
    <t>p800-4400-42</t>
  </si>
  <si>
    <t>p800-4400-43</t>
  </si>
  <si>
    <t>p800-4400-44</t>
  </si>
  <si>
    <t>p800-4400-45</t>
  </si>
  <si>
    <t>p800-4400-46</t>
  </si>
  <si>
    <t>p800-4400-47</t>
  </si>
  <si>
    <t>p800-4400-48</t>
  </si>
  <si>
    <t>p800-4400-49</t>
  </si>
  <si>
    <t>p800-4400-5</t>
  </si>
  <si>
    <t>p800-4400-50</t>
  </si>
  <si>
    <t>p800-4400-51</t>
  </si>
  <si>
    <t>p800-4400-52</t>
  </si>
  <si>
    <t>p800-4400-53</t>
  </si>
  <si>
    <t>p800-4400-54</t>
  </si>
  <si>
    <t>p800-4400-55</t>
  </si>
  <si>
    <t>p800-4400-6</t>
  </si>
  <si>
    <t>p1200-3000-81</t>
  </si>
  <si>
    <t>p800-4400-89</t>
  </si>
  <si>
    <t>p2000-2000-87</t>
  </si>
  <si>
    <t>p2000-2000-80</t>
  </si>
  <si>
    <t>p800-4400-81</t>
  </si>
  <si>
    <t>p2000-2000-78</t>
  </si>
  <si>
    <t>p1200-3000-77</t>
  </si>
  <si>
    <t>p2000-2000-61</t>
  </si>
  <si>
    <t>p800-4400-83</t>
  </si>
  <si>
    <t>p800-4400-7</t>
  </si>
  <si>
    <t>p1000-4000-81</t>
  </si>
  <si>
    <t>p800-4400-86</t>
  </si>
  <si>
    <t>p1200-3000-87</t>
  </si>
  <si>
    <t>p1200-3000-85</t>
  </si>
  <si>
    <t>p800-4400-82</t>
  </si>
  <si>
    <t>p1200-3000-88</t>
  </si>
  <si>
    <t>p800-4400-84</t>
  </si>
  <si>
    <t>p1000-1000-75</t>
  </si>
  <si>
    <t>p1000-1000-80</t>
  </si>
  <si>
    <t>p1000-1000-79</t>
  </si>
  <si>
    <t>p800-4400-8</t>
  </si>
  <si>
    <t>p1000-1000-85</t>
  </si>
  <si>
    <t>p1000-1000-86</t>
  </si>
  <si>
    <t>p1000-1000-90</t>
  </si>
  <si>
    <t>p2000-2000-77</t>
  </si>
  <si>
    <t>p2000-2000-82</t>
  </si>
  <si>
    <t>p2000-2000-84</t>
  </si>
  <si>
    <t>p2000-2000-90</t>
  </si>
  <si>
    <t>p800-4400-90</t>
  </si>
  <si>
    <t>p1000-1000-84</t>
  </si>
  <si>
    <t>p1000-1000-77</t>
  </si>
  <si>
    <t>p800-4400-9</t>
  </si>
  <si>
    <t>p2000-2000-89</t>
  </si>
  <si>
    <t>inf</t>
  </si>
  <si>
    <t>TB-A2</t>
  </si>
  <si>
    <t>TB-A3</t>
  </si>
  <si>
    <t>TB-A4</t>
  </si>
  <si>
    <t>TB-A5</t>
  </si>
  <si>
    <t>TB-B2</t>
  </si>
  <si>
    <t>TB-C2</t>
  </si>
  <si>
    <t>TB-A1</t>
  </si>
  <si>
    <t>TB-B1</t>
  </si>
  <si>
    <t>TB-C1</t>
  </si>
  <si>
    <t>TB-B3</t>
  </si>
  <si>
    <t>TB-C3</t>
  </si>
  <si>
    <t>TB-B4</t>
  </si>
  <si>
    <t>TB-C4</t>
  </si>
  <si>
    <t>TB-B5</t>
  </si>
  <si>
    <t>TB-C5</t>
  </si>
  <si>
    <t>Inst</t>
  </si>
  <si>
    <t>TBA</t>
  </si>
  <si>
    <t>TBB</t>
  </si>
  <si>
    <t>TBC</t>
  </si>
  <si>
    <t>TIME
(CPLEX)</t>
  </si>
  <si>
    <t>TIME 
(KS14)</t>
  </si>
  <si>
    <t>TIME 
(PaKS)</t>
  </si>
  <si>
    <t>TIME 
(CPLEX)</t>
  </si>
  <si>
    <t>Best 
(HILS best)</t>
  </si>
  <si>
    <t>z^H 
(HILS best)</t>
  </si>
  <si>
    <t>z^UB Gap 
(HILS best)</t>
  </si>
  <si>
    <t>TIME 
(HILS best)</t>
  </si>
  <si>
    <t>Best 
(HILS avg)</t>
  </si>
  <si>
    <t>z^H 
(HILS avg)</t>
  </si>
  <si>
    <t>z^UB Gap 
(HILS avg)</t>
  </si>
  <si>
    <t>TIME 
(HILS avg)</t>
  </si>
  <si>
    <t>NB</t>
  </si>
  <si>
    <t>Avg. Size y</t>
  </si>
  <si>
    <t>Avg. Size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</si>
</sst>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wrapText="1"/>
    </xf>
    <xf numFmtId="10" fontId="0" fillId="0" borderId="0" xfId="1" applyNumberFormat="1" applyFont="1" applyBorder="1"/>
    <xf numFmtId="10" fontId="0" fillId="0" borderId="7" xfId="1" applyNumberFormat="1" applyFont="1" applyBorder="1"/>
    <xf numFmtId="0" fontId="4" fillId="0" borderId="9" xfId="0" applyFont="1" applyBorder="1"/>
    <xf numFmtId="0" fontId="4" fillId="0" borderId="10" xfId="0" applyFont="1" applyBorder="1"/>
    <xf numFmtId="1" fontId="4" fillId="0" borderId="11" xfId="2" applyNumberFormat="1" applyFont="1" applyFill="1" applyBorder="1"/>
    <xf numFmtId="0" fontId="4" fillId="0" borderId="12" xfId="0" applyFont="1" applyBorder="1"/>
    <xf numFmtId="0" fontId="4" fillId="0" borderId="13" xfId="0" applyFont="1" applyBorder="1"/>
    <xf numFmtId="1" fontId="4" fillId="0" borderId="14" xfId="2" applyNumberFormat="1" applyFont="1" applyFill="1" applyBorder="1"/>
    <xf numFmtId="0" fontId="4" fillId="0" borderId="15" xfId="0" applyFont="1" applyBorder="1"/>
    <xf numFmtId="0" fontId="4" fillId="0" borderId="16" xfId="0" applyFont="1" applyBorder="1"/>
    <xf numFmtId="1" fontId="4" fillId="0" borderId="17" xfId="2" applyNumberFormat="1" applyFont="1" applyFill="1" applyBorder="1"/>
    <xf numFmtId="2" fontId="0" fillId="0" borderId="5" xfId="0" applyNumberFormat="1" applyBorder="1"/>
    <xf numFmtId="2" fontId="0" fillId="0" borderId="8" xfId="0" applyNumberFormat="1" applyBorder="1"/>
    <xf numFmtId="0" fontId="0" fillId="0" borderId="5" xfId="0" applyBorder="1"/>
    <xf numFmtId="0" fontId="5" fillId="0" borderId="2" xfId="0" applyFont="1" applyBorder="1" applyAlignment="1">
      <alignment horizontal="center"/>
    </xf>
    <xf numFmtId="164" fontId="4" fillId="0" borderId="0" xfId="0" applyNumberFormat="1" applyFont="1"/>
    <xf numFmtId="164" fontId="4" fillId="0" borderId="7" xfId="0" applyNumberFormat="1" applyFont="1" applyBorder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4" fillId="0" borderId="4" xfId="0" applyFont="1" applyBorder="1"/>
    <xf numFmtId="0" fontId="4" fillId="0" borderId="6" xfId="0" applyFont="1" applyBorder="1"/>
    <xf numFmtId="0" fontId="5" fillId="0" borderId="2" xfId="0" applyFont="1" applyBorder="1" applyAlignment="1">
      <alignment horizontal="center" wrapText="1"/>
    </xf>
    <xf numFmtId="10" fontId="4" fillId="0" borderId="0" xfId="1" applyNumberFormat="1" applyFont="1" applyBorder="1"/>
    <xf numFmtId="10" fontId="4" fillId="0" borderId="7" xfId="1" applyNumberFormat="1" applyFont="1" applyBorder="1"/>
    <xf numFmtId="10" fontId="4" fillId="0" borderId="0" xfId="0" applyNumberFormat="1" applyFont="1"/>
    <xf numFmtId="0" fontId="4" fillId="0" borderId="7" xfId="0" applyFont="1" applyBorder="1"/>
    <xf numFmtId="0" fontId="5" fillId="0" borderId="3" xfId="0" applyFont="1" applyBorder="1" applyAlignment="1">
      <alignment horizontal="center" wrapText="1"/>
    </xf>
    <xf numFmtId="0" fontId="4" fillId="0" borderId="18" xfId="0" applyFont="1" applyBorder="1"/>
    <xf numFmtId="0" fontId="4" fillId="0" borderId="19" xfId="0" applyFont="1" applyBorder="1"/>
    <xf numFmtId="10" fontId="4" fillId="0" borderId="19" xfId="1" applyNumberFormat="1" applyFont="1" applyBorder="1"/>
    <xf numFmtId="0" fontId="4" fillId="0" borderId="20" xfId="0" applyFont="1" applyBorder="1"/>
    <xf numFmtId="1" fontId="4" fillId="0" borderId="20" xfId="0" applyNumberFormat="1" applyFont="1" applyBorder="1"/>
    <xf numFmtId="0" fontId="4" fillId="0" borderId="5" xfId="0" applyFont="1" applyBorder="1"/>
    <xf numFmtId="1" fontId="4" fillId="0" borderId="5" xfId="0" applyNumberFormat="1" applyFont="1" applyBorder="1"/>
    <xf numFmtId="0" fontId="4" fillId="0" borderId="8" xfId="0" applyFont="1" applyBorder="1"/>
    <xf numFmtId="1" fontId="4" fillId="0" borderId="8" xfId="0" applyNumberFormat="1" applyFont="1" applyBorder="1"/>
    <xf numFmtId="1" fontId="4" fillId="0" borderId="0" xfId="0" applyNumberFormat="1" applyFont="1"/>
    <xf numFmtId="1" fontId="0" fillId="0" borderId="5" xfId="0" applyNumberFormat="1" applyBorder="1"/>
    <xf numFmtId="1" fontId="0" fillId="0" borderId="8" xfId="0" applyNumberFormat="1" applyBorder="1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3">
    <cellStyle name="20 % - Akzent4" xfId="2" builtinId="42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102" sqref="U102"/>
    </sheetView>
  </sheetViews>
  <sheetFormatPr baseColWidth="10" defaultColWidth="8.7265625" defaultRowHeight="14.5" x14ac:dyDescent="0.35"/>
  <cols>
    <col min="1" max="1" width="10.81640625" bestFit="1" customWidth="1"/>
    <col min="2" max="2" width="7.54296875" bestFit="1" customWidth="1"/>
    <col min="3" max="4" width="4.81640625" bestFit="1" customWidth="1"/>
    <col min="5" max="5" width="20.36328125" style="28" customWidth="1"/>
    <col min="6" max="6" width="10.08984375" style="28" customWidth="1"/>
    <col min="7" max="7" width="11.81640625" bestFit="1" customWidth="1"/>
    <col min="8" max="8" width="11.81640625" style="28" customWidth="1"/>
    <col min="9" max="9" width="12" bestFit="1" customWidth="1"/>
    <col min="10" max="10" width="8.90625" style="28" customWidth="1"/>
    <col min="11" max="11" width="11.81640625" bestFit="1" customWidth="1"/>
    <col min="12" max="12" width="11.81640625" style="28" customWidth="1"/>
    <col min="13" max="13" width="12" bestFit="1" customWidth="1"/>
    <col min="14" max="14" width="8.90625" style="28"/>
    <col min="15" max="15" width="11" style="28" bestFit="1" customWidth="1"/>
    <col min="16" max="16" width="12" style="28" bestFit="1" customWidth="1"/>
    <col min="17" max="17" width="6" style="28" bestFit="1" customWidth="1"/>
    <col min="18" max="18" width="8.90625" style="28"/>
    <col min="19" max="19" width="11" style="28" bestFit="1" customWidth="1"/>
    <col min="20" max="21" width="8.90625" style="28"/>
    <col min="22" max="22" width="7.54296875" style="28" customWidth="1"/>
    <col min="23" max="23" width="11.81640625" style="28" bestFit="1" customWidth="1"/>
    <col min="24" max="24" width="11.81640625" style="28" customWidth="1"/>
    <col min="25" max="25" width="12" bestFit="1" customWidth="1"/>
  </cols>
  <sheetData>
    <row r="1" spans="1:25" s="1" customFormat="1" ht="44" thickBot="1" x14ac:dyDescent="0.4">
      <c r="A1" s="2" t="s">
        <v>0</v>
      </c>
      <c r="B1" s="3" t="s">
        <v>119</v>
      </c>
      <c r="C1" s="3" t="s">
        <v>120</v>
      </c>
      <c r="D1" s="3" t="s">
        <v>121</v>
      </c>
      <c r="E1" s="25" t="s">
        <v>131</v>
      </c>
      <c r="F1" s="29" t="s">
        <v>122</v>
      </c>
      <c r="G1" s="4" t="s">
        <v>123</v>
      </c>
      <c r="H1" s="32" t="s">
        <v>124</v>
      </c>
      <c r="I1" s="5" t="s">
        <v>581</v>
      </c>
      <c r="J1" s="29" t="s">
        <v>125</v>
      </c>
      <c r="K1" s="4" t="s">
        <v>126</v>
      </c>
      <c r="L1" s="32" t="s">
        <v>127</v>
      </c>
      <c r="M1" s="5" t="s">
        <v>582</v>
      </c>
      <c r="N1" s="29" t="s">
        <v>585</v>
      </c>
      <c r="O1" s="32" t="s">
        <v>586</v>
      </c>
      <c r="P1" s="32" t="s">
        <v>587</v>
      </c>
      <c r="Q1" s="32" t="s">
        <v>588</v>
      </c>
      <c r="R1" s="29" t="s">
        <v>589</v>
      </c>
      <c r="S1" s="32" t="s">
        <v>590</v>
      </c>
      <c r="T1" s="32" t="s">
        <v>591</v>
      </c>
      <c r="U1" s="37" t="s">
        <v>592</v>
      </c>
      <c r="V1" s="29" t="s">
        <v>128</v>
      </c>
      <c r="W1" s="32" t="s">
        <v>129</v>
      </c>
      <c r="X1" s="32" t="s">
        <v>130</v>
      </c>
      <c r="Y1" s="5" t="s">
        <v>583</v>
      </c>
    </row>
    <row r="2" spans="1:25" x14ac:dyDescent="0.35">
      <c r="A2" s="7" t="s">
        <v>1</v>
      </c>
      <c r="B2" t="s">
        <v>113</v>
      </c>
      <c r="C2">
        <v>100</v>
      </c>
      <c r="D2">
        <v>1000</v>
      </c>
      <c r="E2" s="26">
        <v>19241056.93</v>
      </c>
      <c r="F2" s="30">
        <f>IF(H2&lt;=0.0001,1,0)</f>
        <v>1</v>
      </c>
      <c r="G2">
        <v>19241056.932834338</v>
      </c>
      <c r="H2" s="33">
        <f>(G2-$E2)/$E2</f>
        <v>1.4730680882668472E-10</v>
      </c>
      <c r="I2" s="48">
        <v>2378.1</v>
      </c>
      <c r="J2" s="30">
        <f>IF(L2&lt;=0.0001,1,0)</f>
        <v>1</v>
      </c>
      <c r="K2">
        <v>19241056.932834338</v>
      </c>
      <c r="L2" s="33">
        <f>(K2-$E2)/$E2</f>
        <v>1.4730680882668472E-10</v>
      </c>
      <c r="M2" s="48">
        <v>235.1614627838135</v>
      </c>
      <c r="N2" s="38">
        <f>IF(P2&lt;=0.0001,1,0)</f>
        <v>1</v>
      </c>
      <c r="O2" s="39">
        <v>19241056.932799999</v>
      </c>
      <c r="P2" s="40">
        <f>(O2-$E2)/$E2</f>
        <v>1.455220978258207E-10</v>
      </c>
      <c r="Q2" s="41">
        <v>626</v>
      </c>
      <c r="R2" s="38">
        <f>IF(T2&lt;=0.0001,1,0)</f>
        <v>1</v>
      </c>
      <c r="S2" s="39">
        <v>19241056.932799999</v>
      </c>
      <c r="T2" s="40">
        <f>(S2-$E2)/$E2</f>
        <v>1.455220978258207E-10</v>
      </c>
      <c r="U2" s="42">
        <v>125.2</v>
      </c>
      <c r="V2" s="30">
        <f>IF(X2&lt;=0.0001,1,0)</f>
        <v>1</v>
      </c>
      <c r="W2" s="28">
        <v>19241057.798384231</v>
      </c>
      <c r="X2" s="33">
        <f t="shared" ref="X2:X33" si="0">(W2-$E2)/$E2</f>
        <v>4.5131836262485886E-8</v>
      </c>
      <c r="Y2" s="48">
        <v>395.4096531867981</v>
      </c>
    </row>
    <row r="3" spans="1:25" x14ac:dyDescent="0.35">
      <c r="A3" s="7" t="s">
        <v>2</v>
      </c>
      <c r="B3" t="s">
        <v>113</v>
      </c>
      <c r="C3">
        <v>100</v>
      </c>
      <c r="D3">
        <v>1000</v>
      </c>
      <c r="E3" s="26">
        <v>18438329.780000001</v>
      </c>
      <c r="F3" s="30">
        <f>IF(H3&lt;=0.0001,1,0)</f>
        <v>1</v>
      </c>
      <c r="G3">
        <v>18438329.784716759</v>
      </c>
      <c r="H3" s="33">
        <f t="shared" ref="H3:H66" si="1">(G3-$E3)/$E3</f>
        <v>2.5581263277231935E-10</v>
      </c>
      <c r="I3" s="48">
        <v>3600.5</v>
      </c>
      <c r="J3" s="30">
        <f>IF(L3&lt;=0.0001,1,0)</f>
        <v>1</v>
      </c>
      <c r="K3">
        <v>18438337.45976676</v>
      </c>
      <c r="L3" s="33">
        <f t="shared" ref="L3:L66" si="2">(K3-$E3)/$E3</f>
        <v>4.1651097745342474E-7</v>
      </c>
      <c r="M3" s="48">
        <v>70.207059383392334</v>
      </c>
      <c r="N3" s="30">
        <f t="shared" ref="N3:N66" si="3">IF(P3&lt;=0.0001,1,0)</f>
        <v>1</v>
      </c>
      <c r="O3" s="28">
        <v>18438329.784699999</v>
      </c>
      <c r="P3" s="33">
        <f t="shared" ref="P3:P66" si="4">(O3-$E3)/$E3</f>
        <v>2.5490365233576376E-10</v>
      </c>
      <c r="Q3" s="43">
        <v>537</v>
      </c>
      <c r="R3" s="30">
        <f t="shared" ref="R3:R66" si="5">IF(T3&lt;=0.0001,1,0)</f>
        <v>1</v>
      </c>
      <c r="S3" s="28">
        <v>18438329.784699999</v>
      </c>
      <c r="T3" s="33">
        <f t="shared" ref="T3:T66" si="6">(S3-$E3)/$E3</f>
        <v>2.5490365233576376E-10</v>
      </c>
      <c r="U3" s="44">
        <v>107.4</v>
      </c>
      <c r="V3" s="30">
        <f>IF(X3&lt;=0.0001,1,0)</f>
        <v>1</v>
      </c>
      <c r="W3" s="28">
        <v>18438481.433876742</v>
      </c>
      <c r="X3" s="33">
        <f t="shared" si="0"/>
        <v>8.2249248467713128E-6</v>
      </c>
      <c r="Y3" s="48">
        <v>384.82009673118591</v>
      </c>
    </row>
    <row r="4" spans="1:25" x14ac:dyDescent="0.35">
      <c r="A4" s="7" t="s">
        <v>3</v>
      </c>
      <c r="B4" t="s">
        <v>113</v>
      </c>
      <c r="C4">
        <v>100</v>
      </c>
      <c r="D4">
        <v>1000</v>
      </c>
      <c r="E4" s="26">
        <v>17765201.94898995</v>
      </c>
      <c r="F4" s="30">
        <f t="shared" ref="F4:F67" si="7">IF(H4&lt;=0.0001,1,0)</f>
        <v>1</v>
      </c>
      <c r="G4">
        <v>17765201.94898995</v>
      </c>
      <c r="H4" s="33">
        <f t="shared" si="1"/>
        <v>0</v>
      </c>
      <c r="I4" s="48">
        <v>2703.1</v>
      </c>
      <c r="J4" s="30">
        <f t="shared" ref="J4:J67" si="8">IF(L4&lt;=0.0001,1,0)</f>
        <v>1</v>
      </c>
      <c r="K4">
        <v>17765201.94898995</v>
      </c>
      <c r="L4" s="33">
        <f t="shared" si="2"/>
        <v>0</v>
      </c>
      <c r="M4" s="48">
        <v>77.262728691101074</v>
      </c>
      <c r="N4" s="30">
        <f t="shared" si="3"/>
        <v>1</v>
      </c>
      <c r="O4" s="28">
        <v>17765201.949000001</v>
      </c>
      <c r="P4" s="33">
        <f t="shared" si="4"/>
        <v>5.657595817998393E-13</v>
      </c>
      <c r="Q4" s="43">
        <v>3793</v>
      </c>
      <c r="R4" s="30">
        <f t="shared" si="5"/>
        <v>1</v>
      </c>
      <c r="S4" s="28">
        <v>17765201.949000001</v>
      </c>
      <c r="T4" s="33">
        <f t="shared" si="6"/>
        <v>5.657595817998393E-13</v>
      </c>
      <c r="U4" s="44">
        <v>758.6</v>
      </c>
      <c r="V4" s="30">
        <f t="shared" ref="V4:V67" si="9">IF(X4&lt;=0.0001,1,0)</f>
        <v>1</v>
      </c>
      <c r="W4" s="28">
        <v>17765201.94898995</v>
      </c>
      <c r="X4" s="33">
        <f t="shared" si="0"/>
        <v>0</v>
      </c>
      <c r="Y4" s="48">
        <v>339.64176797866821</v>
      </c>
    </row>
    <row r="5" spans="1:25" x14ac:dyDescent="0.35">
      <c r="A5" s="7" t="s">
        <v>4</v>
      </c>
      <c r="B5" t="s">
        <v>113</v>
      </c>
      <c r="C5">
        <v>100</v>
      </c>
      <c r="D5">
        <v>1000</v>
      </c>
      <c r="E5" s="26">
        <v>17160612.23</v>
      </c>
      <c r="F5" s="30">
        <f t="shared" si="7"/>
        <v>1</v>
      </c>
      <c r="G5">
        <v>17160612.234277491</v>
      </c>
      <c r="H5" s="33">
        <f t="shared" si="1"/>
        <v>2.4926209054039811E-10</v>
      </c>
      <c r="I5" s="48">
        <v>325.89999999999998</v>
      </c>
      <c r="J5" s="30">
        <f t="shared" si="8"/>
        <v>1</v>
      </c>
      <c r="K5">
        <v>17160612.234277491</v>
      </c>
      <c r="L5" s="33">
        <f t="shared" si="2"/>
        <v>2.4926209054039811E-10</v>
      </c>
      <c r="M5" s="48">
        <v>53.625356435775757</v>
      </c>
      <c r="N5" s="30">
        <f t="shared" si="3"/>
        <v>1</v>
      </c>
      <c r="O5" s="28">
        <v>17160612.234299999</v>
      </c>
      <c r="P5" s="33">
        <f t="shared" si="4"/>
        <v>2.5057371064355265E-10</v>
      </c>
      <c r="Q5" s="43">
        <v>5570</v>
      </c>
      <c r="R5" s="30">
        <f t="shared" si="5"/>
        <v>1</v>
      </c>
      <c r="S5" s="28">
        <v>17160612.234299999</v>
      </c>
      <c r="T5" s="33">
        <f t="shared" si="6"/>
        <v>2.5057371064355265E-10</v>
      </c>
      <c r="U5" s="44">
        <v>1114</v>
      </c>
      <c r="V5" s="30">
        <f t="shared" si="9"/>
        <v>1</v>
      </c>
      <c r="W5" s="28">
        <v>17160612.234277491</v>
      </c>
      <c r="X5" s="33">
        <f t="shared" si="0"/>
        <v>2.4926209054039811E-10</v>
      </c>
      <c r="Y5" s="48">
        <v>118.8159201145172</v>
      </c>
    </row>
    <row r="6" spans="1:25" x14ac:dyDescent="0.35">
      <c r="A6" s="7" t="s">
        <v>5</v>
      </c>
      <c r="B6" t="s">
        <v>113</v>
      </c>
      <c r="C6">
        <v>100</v>
      </c>
      <c r="D6">
        <v>1000</v>
      </c>
      <c r="E6" s="26">
        <v>13657464.23</v>
      </c>
      <c r="F6" s="30">
        <f t="shared" si="7"/>
        <v>1</v>
      </c>
      <c r="G6">
        <v>13657992.71650666</v>
      </c>
      <c r="H6" s="33">
        <f t="shared" si="1"/>
        <v>3.8695800169014064E-5</v>
      </c>
      <c r="I6" s="48">
        <v>201</v>
      </c>
      <c r="J6" s="30">
        <f t="shared" si="8"/>
        <v>1</v>
      </c>
      <c r="K6">
        <v>13657496.84182683</v>
      </c>
      <c r="L6" s="33">
        <f t="shared" si="2"/>
        <v>2.3878390805503323E-6</v>
      </c>
      <c r="M6" s="48">
        <v>203.88795471191409</v>
      </c>
      <c r="N6" s="30">
        <f t="shared" si="3"/>
        <v>1</v>
      </c>
      <c r="O6" s="28">
        <v>13657464.2304</v>
      </c>
      <c r="P6" s="33">
        <f t="shared" si="4"/>
        <v>2.928796398590674E-11</v>
      </c>
      <c r="Q6" s="43">
        <v>501</v>
      </c>
      <c r="R6" s="30">
        <f t="shared" si="5"/>
        <v>1</v>
      </c>
      <c r="S6" s="28">
        <v>13657464.2304</v>
      </c>
      <c r="T6" s="33">
        <f t="shared" si="6"/>
        <v>2.928796398590674E-11</v>
      </c>
      <c r="U6" s="44">
        <v>100.2</v>
      </c>
      <c r="V6" s="30">
        <f t="shared" si="9"/>
        <v>1</v>
      </c>
      <c r="W6" s="28">
        <v>13657874.50577689</v>
      </c>
      <c r="X6" s="33">
        <f t="shared" si="0"/>
        <v>3.0040406475161249E-5</v>
      </c>
      <c r="Y6" s="48">
        <v>525.87701892852783</v>
      </c>
    </row>
    <row r="7" spans="1:25" x14ac:dyDescent="0.35">
      <c r="A7" s="7" t="s">
        <v>6</v>
      </c>
      <c r="B7" t="s">
        <v>113</v>
      </c>
      <c r="C7">
        <v>100</v>
      </c>
      <c r="D7">
        <v>1000</v>
      </c>
      <c r="E7" s="26">
        <v>13362529.34</v>
      </c>
      <c r="F7" s="30">
        <f t="shared" si="7"/>
        <v>1</v>
      </c>
      <c r="G7">
        <v>13362769.091912771</v>
      </c>
      <c r="H7" s="33">
        <f t="shared" si="1"/>
        <v>1.7942105620161941E-5</v>
      </c>
      <c r="I7" s="48">
        <v>378.6</v>
      </c>
      <c r="J7" s="30">
        <f t="shared" si="8"/>
        <v>1</v>
      </c>
      <c r="K7">
        <v>13362595.941473231</v>
      </c>
      <c r="L7" s="33">
        <f t="shared" si="2"/>
        <v>4.9841965945399807E-6</v>
      </c>
      <c r="M7" s="48">
        <v>213.36686277389529</v>
      </c>
      <c r="N7" s="30">
        <f t="shared" si="3"/>
        <v>1</v>
      </c>
      <c r="O7" s="28">
        <v>13362529.341499999</v>
      </c>
      <c r="P7" s="33">
        <f t="shared" si="4"/>
        <v>1.1225414563217604E-10</v>
      </c>
      <c r="Q7" s="43">
        <v>481</v>
      </c>
      <c r="R7" s="30">
        <f t="shared" si="5"/>
        <v>1</v>
      </c>
      <c r="S7" s="28">
        <v>13362529.341499999</v>
      </c>
      <c r="T7" s="33">
        <f t="shared" si="6"/>
        <v>1.1225414563217604E-10</v>
      </c>
      <c r="U7" s="44">
        <v>96.2</v>
      </c>
      <c r="V7" s="30">
        <f t="shared" si="9"/>
        <v>1</v>
      </c>
      <c r="W7" s="28">
        <v>13362845.66851332</v>
      </c>
      <c r="X7" s="33">
        <f t="shared" si="0"/>
        <v>2.3672802152330798E-5</v>
      </c>
      <c r="Y7" s="48">
        <v>518.64686441421509</v>
      </c>
    </row>
    <row r="8" spans="1:25" x14ac:dyDescent="0.35">
      <c r="A8" s="7" t="s">
        <v>7</v>
      </c>
      <c r="B8" t="s">
        <v>113</v>
      </c>
      <c r="C8">
        <v>100</v>
      </c>
      <c r="D8">
        <v>1000</v>
      </c>
      <c r="E8" s="26">
        <v>13199213.18558</v>
      </c>
      <c r="F8" s="30">
        <f t="shared" si="7"/>
        <v>1</v>
      </c>
      <c r="G8">
        <v>13199213.185583049</v>
      </c>
      <c r="H8" s="33">
        <f t="shared" si="1"/>
        <v>2.3100999024867941E-13</v>
      </c>
      <c r="I8" s="48">
        <v>333.7</v>
      </c>
      <c r="J8" s="30">
        <f t="shared" si="8"/>
        <v>1</v>
      </c>
      <c r="K8">
        <v>13199213.185583061</v>
      </c>
      <c r="L8" s="33">
        <f t="shared" si="2"/>
        <v>2.3185669760450842E-13</v>
      </c>
      <c r="M8" s="48">
        <v>289.60929393768311</v>
      </c>
      <c r="N8" s="30">
        <f t="shared" si="3"/>
        <v>1</v>
      </c>
      <c r="O8" s="28">
        <v>13199213.1856</v>
      </c>
      <c r="P8" s="33">
        <f t="shared" si="4"/>
        <v>1.5151828132559993E-12</v>
      </c>
      <c r="Q8" s="43">
        <v>474</v>
      </c>
      <c r="R8" s="30">
        <f t="shared" si="5"/>
        <v>1</v>
      </c>
      <c r="S8" s="28">
        <v>13199213.1856</v>
      </c>
      <c r="T8" s="33">
        <f t="shared" si="6"/>
        <v>1.5151828132559993E-12</v>
      </c>
      <c r="U8" s="44">
        <v>94.8</v>
      </c>
      <c r="V8" s="30">
        <f t="shared" si="9"/>
        <v>1</v>
      </c>
      <c r="W8" s="28">
        <v>13199380.29076235</v>
      </c>
      <c r="X8" s="33">
        <f t="shared" si="0"/>
        <v>1.2660238152092465E-5</v>
      </c>
      <c r="Y8" s="48">
        <v>449.39759922027588</v>
      </c>
    </row>
    <row r="9" spans="1:25" x14ac:dyDescent="0.35">
      <c r="A9" s="7" t="s">
        <v>8</v>
      </c>
      <c r="B9" t="s">
        <v>113</v>
      </c>
      <c r="C9">
        <v>100</v>
      </c>
      <c r="D9">
        <v>1000</v>
      </c>
      <c r="E9" s="26">
        <v>13083203.73598</v>
      </c>
      <c r="F9" s="30">
        <f t="shared" si="7"/>
        <v>1</v>
      </c>
      <c r="G9">
        <v>13083811.163829761</v>
      </c>
      <c r="H9" s="33">
        <f t="shared" si="1"/>
        <v>4.6428066245716042E-5</v>
      </c>
      <c r="I9" s="48">
        <v>276</v>
      </c>
      <c r="J9" s="30">
        <f t="shared" si="8"/>
        <v>1</v>
      </c>
      <c r="K9">
        <v>13083293.23824941</v>
      </c>
      <c r="L9" s="33">
        <f t="shared" si="2"/>
        <v>6.8410055530555971E-6</v>
      </c>
      <c r="M9" s="48">
        <v>126.9065420627594</v>
      </c>
      <c r="N9" s="30">
        <f t="shared" si="3"/>
        <v>1</v>
      </c>
      <c r="O9" s="28">
        <v>13083203.736</v>
      </c>
      <c r="P9" s="33">
        <f t="shared" si="4"/>
        <v>1.5286180182529077E-12</v>
      </c>
      <c r="Q9" s="43">
        <v>591</v>
      </c>
      <c r="R9" s="30">
        <f t="shared" si="5"/>
        <v>1</v>
      </c>
      <c r="S9" s="28">
        <v>13083203.736</v>
      </c>
      <c r="T9" s="33">
        <f t="shared" si="6"/>
        <v>1.5286180182529077E-12</v>
      </c>
      <c r="U9" s="44">
        <v>118.2</v>
      </c>
      <c r="V9" s="30">
        <f t="shared" si="9"/>
        <v>1</v>
      </c>
      <c r="W9" s="28">
        <v>13083667.505760159</v>
      </c>
      <c r="X9" s="33">
        <f t="shared" si="0"/>
        <v>3.5447722860386824E-5</v>
      </c>
      <c r="Y9" s="48">
        <v>428.28052592277533</v>
      </c>
    </row>
    <row r="10" spans="1:25" x14ac:dyDescent="0.35">
      <c r="A10" s="7" t="s">
        <v>9</v>
      </c>
      <c r="B10" t="s">
        <v>113</v>
      </c>
      <c r="C10">
        <v>100</v>
      </c>
      <c r="D10">
        <v>1000</v>
      </c>
      <c r="E10" s="26">
        <v>11647410.497099999</v>
      </c>
      <c r="F10" s="30">
        <f t="shared" si="7"/>
        <v>1</v>
      </c>
      <c r="G10">
        <v>11647660.032817921</v>
      </c>
      <c r="H10" s="33">
        <f t="shared" si="1"/>
        <v>2.1424136977353166E-5</v>
      </c>
      <c r="I10" s="48">
        <v>267.39999999999998</v>
      </c>
      <c r="J10" s="30">
        <f t="shared" si="8"/>
        <v>1</v>
      </c>
      <c r="K10">
        <v>11647410.497138379</v>
      </c>
      <c r="L10" s="33">
        <f t="shared" si="2"/>
        <v>3.2951361428756863E-12</v>
      </c>
      <c r="M10" s="48">
        <v>150.02919244766241</v>
      </c>
      <c r="N10" s="30">
        <f t="shared" si="3"/>
        <v>1</v>
      </c>
      <c r="O10" s="28">
        <v>11647410.497099999</v>
      </c>
      <c r="P10" s="33">
        <f t="shared" si="4"/>
        <v>0</v>
      </c>
      <c r="Q10" s="43">
        <v>559</v>
      </c>
      <c r="R10" s="30">
        <f t="shared" si="5"/>
        <v>1</v>
      </c>
      <c r="S10" s="28">
        <v>11647410.497099999</v>
      </c>
      <c r="T10" s="33">
        <f t="shared" si="6"/>
        <v>0</v>
      </c>
      <c r="U10" s="44">
        <v>111.8</v>
      </c>
      <c r="V10" s="30">
        <f t="shared" si="9"/>
        <v>1</v>
      </c>
      <c r="W10" s="28">
        <v>11647416.85324838</v>
      </c>
      <c r="X10" s="33">
        <f t="shared" si="0"/>
        <v>5.4571343410355025E-7</v>
      </c>
      <c r="Y10" s="48">
        <v>629.02254104614258</v>
      </c>
    </row>
    <row r="11" spans="1:25" x14ac:dyDescent="0.35">
      <c r="A11" s="7" t="s">
        <v>10</v>
      </c>
      <c r="B11" t="s">
        <v>113</v>
      </c>
      <c r="C11">
        <v>100</v>
      </c>
      <c r="D11">
        <v>1000</v>
      </c>
      <c r="E11" s="26">
        <v>11570437.68</v>
      </c>
      <c r="F11" s="30">
        <f t="shared" si="7"/>
        <v>1</v>
      </c>
      <c r="G11">
        <v>11570437.68012695</v>
      </c>
      <c r="H11" s="33">
        <f t="shared" si="1"/>
        <v>1.0971965478058313E-11</v>
      </c>
      <c r="I11" s="48">
        <v>163.30000000000001</v>
      </c>
      <c r="J11" s="30">
        <f t="shared" si="8"/>
        <v>1</v>
      </c>
      <c r="K11">
        <v>11570437.680126959</v>
      </c>
      <c r="L11" s="33">
        <f t="shared" si="2"/>
        <v>1.0972770393654743E-11</v>
      </c>
      <c r="M11" s="48">
        <v>143.4607112407684</v>
      </c>
      <c r="N11" s="30">
        <f t="shared" si="3"/>
        <v>1</v>
      </c>
      <c r="O11" s="28">
        <v>11570437.6801</v>
      </c>
      <c r="P11" s="33">
        <f t="shared" si="4"/>
        <v>8.642700725108819E-12</v>
      </c>
      <c r="Q11" s="43">
        <v>337</v>
      </c>
      <c r="R11" s="30">
        <f t="shared" si="5"/>
        <v>1</v>
      </c>
      <c r="S11" s="28">
        <v>11570437.6801</v>
      </c>
      <c r="T11" s="33">
        <f t="shared" si="6"/>
        <v>8.642700725108819E-12</v>
      </c>
      <c r="U11" s="44">
        <v>67.400000000000006</v>
      </c>
      <c r="V11" s="30">
        <f t="shared" si="9"/>
        <v>1</v>
      </c>
      <c r="W11" s="28">
        <v>11570437.68012695</v>
      </c>
      <c r="X11" s="33">
        <f t="shared" si="0"/>
        <v>1.0971965478058313E-11</v>
      </c>
      <c r="Y11" s="48">
        <v>366.83841490745539</v>
      </c>
    </row>
    <row r="12" spans="1:25" x14ac:dyDescent="0.35">
      <c r="A12" s="7" t="s">
        <v>11</v>
      </c>
      <c r="B12" t="s">
        <v>113</v>
      </c>
      <c r="C12">
        <v>100</v>
      </c>
      <c r="D12">
        <v>1000</v>
      </c>
      <c r="E12" s="26">
        <v>11519169.779999999</v>
      </c>
      <c r="F12" s="30">
        <f t="shared" si="7"/>
        <v>1</v>
      </c>
      <c r="G12">
        <v>11519403.072032079</v>
      </c>
      <c r="H12" s="33">
        <f t="shared" si="1"/>
        <v>2.0252504002920526E-5</v>
      </c>
      <c r="I12" s="48">
        <v>196.1</v>
      </c>
      <c r="J12" s="30">
        <f t="shared" si="8"/>
        <v>1</v>
      </c>
      <c r="K12">
        <v>11519169.784371659</v>
      </c>
      <c r="L12" s="33">
        <f t="shared" si="2"/>
        <v>3.7951171080079291E-10</v>
      </c>
      <c r="M12" s="48">
        <v>94.429618358612061</v>
      </c>
      <c r="N12" s="30">
        <f t="shared" si="3"/>
        <v>1</v>
      </c>
      <c r="O12" s="28">
        <v>11519169.784399999</v>
      </c>
      <c r="P12" s="33">
        <f t="shared" si="4"/>
        <v>3.8197197021938005E-10</v>
      </c>
      <c r="Q12" s="43">
        <v>35138</v>
      </c>
      <c r="R12" s="30">
        <f t="shared" si="5"/>
        <v>0</v>
      </c>
      <c r="S12" s="28">
        <v>11526119.1505</v>
      </c>
      <c r="T12" s="33">
        <f t="shared" si="6"/>
        <v>6.0328744455750126E-4</v>
      </c>
      <c r="U12" s="44">
        <v>7027.6</v>
      </c>
      <c r="V12" s="30">
        <f t="shared" si="9"/>
        <v>1</v>
      </c>
      <c r="W12" s="28">
        <v>11519184.36137207</v>
      </c>
      <c r="X12" s="33">
        <f t="shared" si="0"/>
        <v>1.265835329241719E-6</v>
      </c>
      <c r="Y12" s="48">
        <v>200.22673869133001</v>
      </c>
    </row>
    <row r="13" spans="1:25" x14ac:dyDescent="0.35">
      <c r="A13" s="7" t="s">
        <v>12</v>
      </c>
      <c r="B13" t="s">
        <v>113</v>
      </c>
      <c r="C13">
        <v>100</v>
      </c>
      <c r="D13">
        <v>1000</v>
      </c>
      <c r="E13" s="26">
        <v>11505861.859999999</v>
      </c>
      <c r="F13" s="30">
        <f t="shared" si="7"/>
        <v>1</v>
      </c>
      <c r="G13">
        <v>11505861.864362691</v>
      </c>
      <c r="H13" s="33">
        <f t="shared" si="1"/>
        <v>3.7917117786594441E-10</v>
      </c>
      <c r="I13" s="48">
        <v>189.8</v>
      </c>
      <c r="J13" s="30">
        <f t="shared" si="8"/>
        <v>1</v>
      </c>
      <c r="K13">
        <v>11505861.864362661</v>
      </c>
      <c r="L13" s="33">
        <f t="shared" si="2"/>
        <v>3.7916858767993749E-10</v>
      </c>
      <c r="M13" s="48">
        <v>88.659358024597168</v>
      </c>
      <c r="N13" s="30">
        <f t="shared" si="3"/>
        <v>1</v>
      </c>
      <c r="O13" s="28">
        <v>11505861.864399999</v>
      </c>
      <c r="P13" s="33">
        <f t="shared" si="4"/>
        <v>3.8241376697339755E-10</v>
      </c>
      <c r="Q13" s="43">
        <v>22812</v>
      </c>
      <c r="R13" s="30">
        <f t="shared" si="5"/>
        <v>1</v>
      </c>
      <c r="S13" s="28">
        <v>11506568.621339999</v>
      </c>
      <c r="T13" s="33">
        <f t="shared" si="6"/>
        <v>6.142619723749537E-5</v>
      </c>
      <c r="U13" s="44">
        <v>4562.3999999999996</v>
      </c>
      <c r="V13" s="30">
        <f t="shared" si="9"/>
        <v>1</v>
      </c>
      <c r="W13" s="28">
        <v>11505861.864362691</v>
      </c>
      <c r="X13" s="33">
        <f t="shared" si="0"/>
        <v>3.7917117786594441E-10</v>
      </c>
      <c r="Y13" s="48">
        <v>74.883779764175415</v>
      </c>
    </row>
    <row r="14" spans="1:25" x14ac:dyDescent="0.35">
      <c r="A14" s="7" t="s">
        <v>33</v>
      </c>
      <c r="B14" t="s">
        <v>115</v>
      </c>
      <c r="C14">
        <v>300</v>
      </c>
      <c r="D14">
        <v>300</v>
      </c>
      <c r="E14" s="26">
        <v>16555.77</v>
      </c>
      <c r="F14" s="30">
        <f t="shared" si="7"/>
        <v>1</v>
      </c>
      <c r="G14">
        <v>16555.773082000102</v>
      </c>
      <c r="H14" s="33">
        <f t="shared" si="1"/>
        <v>1.8615866861708566E-7</v>
      </c>
      <c r="I14" s="48">
        <v>1266.5</v>
      </c>
      <c r="J14" s="30">
        <f t="shared" si="8"/>
        <v>1</v>
      </c>
      <c r="K14">
        <v>16555.773081999931</v>
      </c>
      <c r="L14" s="33">
        <f t="shared" si="2"/>
        <v>1.8615865828926619E-7</v>
      </c>
      <c r="M14" s="48">
        <v>3608.0179679393768</v>
      </c>
      <c r="N14" s="30">
        <f t="shared" si="3"/>
        <v>1</v>
      </c>
      <c r="O14" s="28">
        <v>16555.773099999999</v>
      </c>
      <c r="P14" s="33">
        <f t="shared" si="4"/>
        <v>1.8724589663210879E-7</v>
      </c>
      <c r="Q14" s="43">
        <v>28876</v>
      </c>
      <c r="R14" s="30">
        <f t="shared" si="5"/>
        <v>0</v>
      </c>
      <c r="S14" s="28">
        <v>16615.611499999999</v>
      </c>
      <c r="T14" s="33">
        <f t="shared" si="6"/>
        <v>3.6145404291071108E-3</v>
      </c>
      <c r="U14" s="44">
        <v>5775.2</v>
      </c>
      <c r="V14" s="30">
        <f t="shared" si="9"/>
        <v>1</v>
      </c>
      <c r="W14" s="28">
        <v>16555.773082</v>
      </c>
      <c r="X14" s="33">
        <f t="shared" si="0"/>
        <v>1.8615866246434215E-7</v>
      </c>
      <c r="Y14" s="48">
        <v>3605.7624399662018</v>
      </c>
    </row>
    <row r="15" spans="1:25" x14ac:dyDescent="0.35">
      <c r="A15" s="7" t="s">
        <v>34</v>
      </c>
      <c r="B15" t="s">
        <v>115</v>
      </c>
      <c r="C15">
        <v>300</v>
      </c>
      <c r="D15">
        <v>300</v>
      </c>
      <c r="E15" s="26">
        <v>11324.338298000001</v>
      </c>
      <c r="F15" s="30">
        <f t="shared" si="7"/>
        <v>1</v>
      </c>
      <c r="G15">
        <v>11324.338298000001</v>
      </c>
      <c r="H15" s="33">
        <f t="shared" si="1"/>
        <v>0</v>
      </c>
      <c r="I15" s="48">
        <v>330.9</v>
      </c>
      <c r="J15" s="30">
        <f t="shared" si="8"/>
        <v>1</v>
      </c>
      <c r="K15">
        <v>11324.338298000001</v>
      </c>
      <c r="L15" s="33">
        <f t="shared" si="2"/>
        <v>0</v>
      </c>
      <c r="M15" s="48">
        <v>1948.8548460006709</v>
      </c>
      <c r="N15" s="30">
        <f t="shared" si="3"/>
        <v>1</v>
      </c>
      <c r="O15" s="28">
        <v>11324.338299999999</v>
      </c>
      <c r="P15" s="33">
        <f t="shared" si="4"/>
        <v>1.7661065975354422E-10</v>
      </c>
      <c r="Q15" s="43">
        <v>1401</v>
      </c>
      <c r="R15" s="30">
        <f t="shared" si="5"/>
        <v>1</v>
      </c>
      <c r="S15" s="28">
        <v>11324.338299999999</v>
      </c>
      <c r="T15" s="33">
        <f t="shared" si="6"/>
        <v>1.7661065975354422E-10</v>
      </c>
      <c r="U15" s="44">
        <v>280.2</v>
      </c>
      <c r="V15" s="30">
        <f t="shared" si="9"/>
        <v>1</v>
      </c>
      <c r="W15" s="28">
        <v>11324.338298000001</v>
      </c>
      <c r="X15" s="33">
        <f t="shared" si="0"/>
        <v>0</v>
      </c>
      <c r="Y15" s="48">
        <v>280.14006042480469</v>
      </c>
    </row>
    <row r="16" spans="1:25" x14ac:dyDescent="0.35">
      <c r="A16" s="7" t="s">
        <v>35</v>
      </c>
      <c r="B16" t="s">
        <v>115</v>
      </c>
      <c r="C16">
        <v>300</v>
      </c>
      <c r="D16">
        <v>300</v>
      </c>
      <c r="E16" s="26">
        <v>10046.938899999999</v>
      </c>
      <c r="F16" s="30">
        <f t="shared" si="7"/>
        <v>1</v>
      </c>
      <c r="G16">
        <v>10047.475866999999</v>
      </c>
      <c r="H16" s="33">
        <f t="shared" si="1"/>
        <v>5.3445831147634855E-5</v>
      </c>
      <c r="I16" s="48">
        <v>361.1</v>
      </c>
      <c r="J16" s="30">
        <f t="shared" si="8"/>
        <v>1</v>
      </c>
      <c r="K16">
        <v>10047.386715000001</v>
      </c>
      <c r="L16" s="33">
        <f t="shared" si="2"/>
        <v>4.457228260852225E-5</v>
      </c>
      <c r="M16" s="48">
        <v>141.75872874259949</v>
      </c>
      <c r="N16" s="30">
        <f t="shared" si="3"/>
        <v>1</v>
      </c>
      <c r="O16" s="28">
        <v>10046.938899999999</v>
      </c>
      <c r="P16" s="33">
        <f t="shared" si="4"/>
        <v>0</v>
      </c>
      <c r="Q16" s="43">
        <v>455</v>
      </c>
      <c r="R16" s="30">
        <f t="shared" si="5"/>
        <v>1</v>
      </c>
      <c r="S16" s="28">
        <v>10046.938899999999</v>
      </c>
      <c r="T16" s="33">
        <f t="shared" si="6"/>
        <v>0</v>
      </c>
      <c r="U16" s="44">
        <v>91</v>
      </c>
      <c r="V16" s="30">
        <f t="shared" si="9"/>
        <v>1</v>
      </c>
      <c r="W16" s="28">
        <v>10046.93893</v>
      </c>
      <c r="X16" s="33">
        <f t="shared" si="0"/>
        <v>2.9859842246204624E-9</v>
      </c>
      <c r="Y16" s="48">
        <v>65.666870832443237</v>
      </c>
    </row>
    <row r="17" spans="1:25" x14ac:dyDescent="0.35">
      <c r="A17" s="7" t="s">
        <v>36</v>
      </c>
      <c r="B17" t="s">
        <v>115</v>
      </c>
      <c r="C17">
        <v>300</v>
      </c>
      <c r="D17">
        <v>300</v>
      </c>
      <c r="E17" s="26">
        <v>9359.64</v>
      </c>
      <c r="F17" s="30">
        <f t="shared" si="7"/>
        <v>1</v>
      </c>
      <c r="G17">
        <v>9359.640598</v>
      </c>
      <c r="H17" s="33">
        <f t="shared" si="1"/>
        <v>6.389134630568679E-8</v>
      </c>
      <c r="I17" s="48">
        <v>122.8</v>
      </c>
      <c r="J17" s="30">
        <f t="shared" si="8"/>
        <v>1</v>
      </c>
      <c r="K17">
        <v>9359.6405979999981</v>
      </c>
      <c r="L17" s="33">
        <f t="shared" si="2"/>
        <v>6.3891346111342836E-8</v>
      </c>
      <c r="M17" s="48">
        <v>116.0491225719452</v>
      </c>
      <c r="N17" s="30">
        <f t="shared" si="3"/>
        <v>1</v>
      </c>
      <c r="O17" s="28">
        <v>9359.6406000000006</v>
      </c>
      <c r="P17" s="33">
        <f t="shared" si="4"/>
        <v>6.4105029810295027E-8</v>
      </c>
      <c r="Q17" s="43">
        <v>444</v>
      </c>
      <c r="R17" s="30">
        <f t="shared" si="5"/>
        <v>1</v>
      </c>
      <c r="S17" s="28">
        <v>9359.6406000000006</v>
      </c>
      <c r="T17" s="33">
        <f t="shared" si="6"/>
        <v>6.4105029810295027E-8</v>
      </c>
      <c r="U17" s="44">
        <v>88.8</v>
      </c>
      <c r="V17" s="30">
        <f t="shared" si="9"/>
        <v>1</v>
      </c>
      <c r="W17" s="28">
        <v>9359.640598</v>
      </c>
      <c r="X17" s="33">
        <f t="shared" si="0"/>
        <v>6.389134630568679E-8</v>
      </c>
      <c r="Y17" s="48">
        <v>70.728529691696167</v>
      </c>
    </row>
    <row r="18" spans="1:25" x14ac:dyDescent="0.35">
      <c r="A18" s="7" t="s">
        <v>37</v>
      </c>
      <c r="B18" t="s">
        <v>115</v>
      </c>
      <c r="C18">
        <v>300</v>
      </c>
      <c r="D18">
        <v>300</v>
      </c>
      <c r="E18" s="26">
        <v>10103.4882</v>
      </c>
      <c r="F18" s="30">
        <f t="shared" si="7"/>
        <v>1</v>
      </c>
      <c r="G18">
        <v>10103.48828199833</v>
      </c>
      <c r="H18" s="33">
        <f t="shared" si="1"/>
        <v>8.1158436591056227E-9</v>
      </c>
      <c r="I18" s="48">
        <v>246.9</v>
      </c>
      <c r="J18" s="30">
        <f t="shared" si="8"/>
        <v>1</v>
      </c>
      <c r="K18">
        <v>10103.488282</v>
      </c>
      <c r="L18" s="33">
        <f t="shared" si="2"/>
        <v>8.1160089319539102E-9</v>
      </c>
      <c r="M18" s="48">
        <v>209.63239741325381</v>
      </c>
      <c r="N18" s="30">
        <f t="shared" si="3"/>
        <v>1</v>
      </c>
      <c r="O18" s="28">
        <v>10103.488300000001</v>
      </c>
      <c r="P18" s="33">
        <f t="shared" si="4"/>
        <v>9.8975719209298743E-9</v>
      </c>
      <c r="Q18" s="43">
        <v>1111</v>
      </c>
      <c r="R18" s="30">
        <f t="shared" si="5"/>
        <v>1</v>
      </c>
      <c r="S18" s="28">
        <v>10103.488300000001</v>
      </c>
      <c r="T18" s="33">
        <f t="shared" si="6"/>
        <v>9.8975719209298743E-9</v>
      </c>
      <c r="U18" s="44">
        <v>222.2</v>
      </c>
      <c r="V18" s="30">
        <f t="shared" si="9"/>
        <v>1</v>
      </c>
      <c r="W18" s="28">
        <v>10103.488281999949</v>
      </c>
      <c r="X18" s="33">
        <f t="shared" si="0"/>
        <v>8.1160038909520016E-9</v>
      </c>
      <c r="Y18" s="48">
        <v>290.77839660644531</v>
      </c>
    </row>
    <row r="19" spans="1:25" x14ac:dyDescent="0.35">
      <c r="A19" s="7" t="s">
        <v>38</v>
      </c>
      <c r="B19" t="s">
        <v>115</v>
      </c>
      <c r="C19">
        <v>300</v>
      </c>
      <c r="D19">
        <v>300</v>
      </c>
      <c r="E19" s="26">
        <v>9738.0450000000001</v>
      </c>
      <c r="F19" s="30">
        <f t="shared" si="7"/>
        <v>1</v>
      </c>
      <c r="G19">
        <v>9738.0450009999986</v>
      </c>
      <c r="H19" s="33">
        <f t="shared" si="1"/>
        <v>1.0268986429476884E-10</v>
      </c>
      <c r="I19" s="48">
        <v>199.8</v>
      </c>
      <c r="J19" s="30">
        <f t="shared" si="8"/>
        <v>1</v>
      </c>
      <c r="K19">
        <v>9738.0450009999986</v>
      </c>
      <c r="L19" s="33">
        <f t="shared" si="2"/>
        <v>1.0268986429476884E-10</v>
      </c>
      <c r="M19" s="48">
        <v>98.720186233520508</v>
      </c>
      <c r="N19" s="30">
        <f t="shared" si="3"/>
        <v>1</v>
      </c>
      <c r="O19" s="28">
        <v>9738.0450000000001</v>
      </c>
      <c r="P19" s="33">
        <f t="shared" si="4"/>
        <v>0</v>
      </c>
      <c r="Q19" s="43">
        <v>606</v>
      </c>
      <c r="R19" s="30">
        <f t="shared" si="5"/>
        <v>1</v>
      </c>
      <c r="S19" s="28">
        <v>9738.0450000000001</v>
      </c>
      <c r="T19" s="33">
        <f t="shared" si="6"/>
        <v>0</v>
      </c>
      <c r="U19" s="44">
        <v>121.2</v>
      </c>
      <c r="V19" s="30">
        <f t="shared" si="9"/>
        <v>0</v>
      </c>
      <c r="W19" s="28">
        <v>9740.8801309999981</v>
      </c>
      <c r="X19" s="33">
        <f t="shared" si="0"/>
        <v>2.9113964866644179E-4</v>
      </c>
      <c r="Y19" s="48">
        <v>100.0323665142059</v>
      </c>
    </row>
    <row r="20" spans="1:25" x14ac:dyDescent="0.35">
      <c r="A20" s="7" t="s">
        <v>39</v>
      </c>
      <c r="B20" t="s">
        <v>115</v>
      </c>
      <c r="C20">
        <v>300</v>
      </c>
      <c r="D20">
        <v>300</v>
      </c>
      <c r="E20" s="26">
        <v>9902.26</v>
      </c>
      <c r="F20" s="30">
        <f t="shared" si="7"/>
        <v>1</v>
      </c>
      <c r="G20">
        <v>9902.2610099999984</v>
      </c>
      <c r="H20" s="33">
        <f t="shared" si="1"/>
        <v>1.0199691768668123E-7</v>
      </c>
      <c r="I20" s="48">
        <v>297.8</v>
      </c>
      <c r="J20" s="30">
        <f t="shared" si="8"/>
        <v>1</v>
      </c>
      <c r="K20">
        <v>9902.2610099999874</v>
      </c>
      <c r="L20" s="33">
        <f t="shared" si="2"/>
        <v>1.0199691658451503E-7</v>
      </c>
      <c r="M20" s="48">
        <v>94.936722993850708</v>
      </c>
      <c r="N20" s="30">
        <f t="shared" si="3"/>
        <v>1</v>
      </c>
      <c r="O20" s="28">
        <v>9902.2610000000004</v>
      </c>
      <c r="P20" s="33">
        <f t="shared" si="4"/>
        <v>1.0098704742187408E-7</v>
      </c>
      <c r="Q20" s="43">
        <v>575</v>
      </c>
      <c r="R20" s="30">
        <f t="shared" si="5"/>
        <v>1</v>
      </c>
      <c r="S20" s="28">
        <v>9902.2610000000004</v>
      </c>
      <c r="T20" s="33">
        <f t="shared" si="6"/>
        <v>1.0098704742187408E-7</v>
      </c>
      <c r="U20" s="44">
        <v>115</v>
      </c>
      <c r="V20" s="30">
        <f t="shared" si="9"/>
        <v>1</v>
      </c>
      <c r="W20" s="28">
        <v>9902.2610100000129</v>
      </c>
      <c r="X20" s="33">
        <f t="shared" si="0"/>
        <v>1.0199691915623619E-7</v>
      </c>
      <c r="Y20" s="48">
        <v>96.192903757095337</v>
      </c>
    </row>
    <row r="21" spans="1:25" x14ac:dyDescent="0.35">
      <c r="A21" s="7" t="s">
        <v>40</v>
      </c>
      <c r="B21" t="s">
        <v>115</v>
      </c>
      <c r="C21">
        <v>300</v>
      </c>
      <c r="D21">
        <v>300</v>
      </c>
      <c r="E21" s="26">
        <v>9168.0794909999968</v>
      </c>
      <c r="F21" s="30">
        <f t="shared" si="7"/>
        <v>1</v>
      </c>
      <c r="G21">
        <v>9168.0794909999986</v>
      </c>
      <c r="H21" s="33">
        <f t="shared" si="1"/>
        <v>1.984046282900905E-16</v>
      </c>
      <c r="I21" s="48">
        <v>130.5</v>
      </c>
      <c r="J21" s="30">
        <f t="shared" si="8"/>
        <v>1</v>
      </c>
      <c r="K21">
        <v>9168.0794910000004</v>
      </c>
      <c r="L21" s="33">
        <f t="shared" si="2"/>
        <v>3.96809256580181E-16</v>
      </c>
      <c r="M21" s="48">
        <v>93.678348302841187</v>
      </c>
      <c r="N21" s="30">
        <f t="shared" si="3"/>
        <v>1</v>
      </c>
      <c r="O21" s="28">
        <v>9168.0794999999998</v>
      </c>
      <c r="P21" s="33">
        <f t="shared" si="4"/>
        <v>9.8166721347222293E-10</v>
      </c>
      <c r="Q21" s="43">
        <v>661</v>
      </c>
      <c r="R21" s="30">
        <f t="shared" si="5"/>
        <v>1</v>
      </c>
      <c r="S21" s="28">
        <v>9168.0794999999998</v>
      </c>
      <c r="T21" s="33">
        <f t="shared" si="6"/>
        <v>9.8166721347222293E-10</v>
      </c>
      <c r="U21" s="44">
        <v>132.19999999999999</v>
      </c>
      <c r="V21" s="30">
        <f t="shared" si="9"/>
        <v>1</v>
      </c>
      <c r="W21" s="28">
        <v>9168.0794909999968</v>
      </c>
      <c r="X21" s="33">
        <f t="shared" si="0"/>
        <v>0</v>
      </c>
      <c r="Y21" s="48">
        <v>56.209205627441413</v>
      </c>
    </row>
    <row r="22" spans="1:25" x14ac:dyDescent="0.35">
      <c r="A22" s="7" t="s">
        <v>41</v>
      </c>
      <c r="B22" t="s">
        <v>115</v>
      </c>
      <c r="C22">
        <v>300</v>
      </c>
      <c r="D22">
        <v>300</v>
      </c>
      <c r="E22" s="26">
        <v>9181.0651709999765</v>
      </c>
      <c r="F22" s="30">
        <f t="shared" si="7"/>
        <v>1</v>
      </c>
      <c r="G22">
        <v>9181.1933309999986</v>
      </c>
      <c r="H22" s="33">
        <f t="shared" si="1"/>
        <v>1.3959164610534647E-5</v>
      </c>
      <c r="I22" s="48">
        <v>229.8</v>
      </c>
      <c r="J22" s="30">
        <f t="shared" si="8"/>
        <v>1</v>
      </c>
      <c r="K22">
        <v>9181.0651710000002</v>
      </c>
      <c r="L22" s="33">
        <f t="shared" si="2"/>
        <v>2.5756120674090133E-15</v>
      </c>
      <c r="M22" s="48">
        <v>221.2739589214325</v>
      </c>
      <c r="N22" s="30">
        <f t="shared" si="3"/>
        <v>1</v>
      </c>
      <c r="O22" s="28">
        <v>9181.0651999999991</v>
      </c>
      <c r="P22" s="33">
        <f t="shared" si="4"/>
        <v>3.1586773441130189E-9</v>
      </c>
      <c r="Q22" s="43">
        <v>486</v>
      </c>
      <c r="R22" s="30">
        <f t="shared" si="5"/>
        <v>1</v>
      </c>
      <c r="S22" s="28">
        <v>9181.0651999999991</v>
      </c>
      <c r="T22" s="33">
        <f t="shared" si="6"/>
        <v>3.1586773441130189E-9</v>
      </c>
      <c r="U22" s="44">
        <v>97.2</v>
      </c>
      <c r="V22" s="30">
        <f t="shared" si="9"/>
        <v>1</v>
      </c>
      <c r="W22" s="28">
        <v>9181.0651709999765</v>
      </c>
      <c r="X22" s="33">
        <f t="shared" si="0"/>
        <v>0</v>
      </c>
      <c r="Y22" s="48">
        <v>103.3308601379395</v>
      </c>
    </row>
    <row r="23" spans="1:25" x14ac:dyDescent="0.35">
      <c r="A23" s="7" t="s">
        <v>42</v>
      </c>
      <c r="B23" t="s">
        <v>115</v>
      </c>
      <c r="C23">
        <v>300</v>
      </c>
      <c r="D23">
        <v>300</v>
      </c>
      <c r="E23" s="26">
        <v>9581.9500000000007</v>
      </c>
      <c r="F23" s="30">
        <f t="shared" si="7"/>
        <v>1</v>
      </c>
      <c r="G23">
        <v>9581.9507450000001</v>
      </c>
      <c r="H23" s="33">
        <f t="shared" si="1"/>
        <v>7.7750353463502836E-8</v>
      </c>
      <c r="I23" s="48">
        <v>186.1</v>
      </c>
      <c r="J23" s="30">
        <f t="shared" si="8"/>
        <v>1</v>
      </c>
      <c r="K23">
        <v>9581.9507449999983</v>
      </c>
      <c r="L23" s="33">
        <f t="shared" si="2"/>
        <v>7.7750353273667837E-8</v>
      </c>
      <c r="M23" s="48">
        <v>154.61017537116999</v>
      </c>
      <c r="N23" s="30">
        <f t="shared" si="3"/>
        <v>1</v>
      </c>
      <c r="O23" s="28">
        <v>9581.9506999999994</v>
      </c>
      <c r="P23" s="33">
        <f t="shared" si="4"/>
        <v>7.3054023313356587E-8</v>
      </c>
      <c r="Q23" s="43">
        <v>698</v>
      </c>
      <c r="R23" s="30">
        <f t="shared" si="5"/>
        <v>1</v>
      </c>
      <c r="S23" s="28">
        <v>9581.9506999999994</v>
      </c>
      <c r="T23" s="33">
        <f t="shared" si="6"/>
        <v>7.3054023313356587E-8</v>
      </c>
      <c r="U23" s="44">
        <v>139.6</v>
      </c>
      <c r="V23" s="30">
        <f t="shared" si="9"/>
        <v>1</v>
      </c>
      <c r="W23" s="28">
        <v>9581.9507450000456</v>
      </c>
      <c r="X23" s="33">
        <f t="shared" si="0"/>
        <v>7.7750358209377644E-8</v>
      </c>
      <c r="Y23" s="48">
        <v>57.752668857574463</v>
      </c>
    </row>
    <row r="24" spans="1:25" x14ac:dyDescent="0.35">
      <c r="A24" s="7" t="s">
        <v>43</v>
      </c>
      <c r="B24" t="s">
        <v>115</v>
      </c>
      <c r="C24">
        <v>300</v>
      </c>
      <c r="D24">
        <v>300</v>
      </c>
      <c r="E24" s="26">
        <v>9062.1577870000001</v>
      </c>
      <c r="F24" s="30">
        <f t="shared" si="7"/>
        <v>1</v>
      </c>
      <c r="G24">
        <v>9062.1577870000001</v>
      </c>
      <c r="H24" s="33">
        <f t="shared" si="1"/>
        <v>0</v>
      </c>
      <c r="I24" s="48">
        <v>70.7</v>
      </c>
      <c r="J24" s="30">
        <f t="shared" si="8"/>
        <v>1</v>
      </c>
      <c r="K24">
        <v>9062.1577870000001</v>
      </c>
      <c r="L24" s="33">
        <f t="shared" si="2"/>
        <v>0</v>
      </c>
      <c r="M24" s="48">
        <v>89.961156368255615</v>
      </c>
      <c r="N24" s="30">
        <f t="shared" si="3"/>
        <v>1</v>
      </c>
      <c r="O24" s="28">
        <v>9062.1578000000009</v>
      </c>
      <c r="P24" s="33">
        <f t="shared" si="4"/>
        <v>1.4345370129876794E-9</v>
      </c>
      <c r="Q24" s="43">
        <v>443</v>
      </c>
      <c r="R24" s="30">
        <f t="shared" si="5"/>
        <v>1</v>
      </c>
      <c r="S24" s="28">
        <v>9062.1578000000009</v>
      </c>
      <c r="T24" s="33">
        <f t="shared" si="6"/>
        <v>1.4345370129876794E-9</v>
      </c>
      <c r="U24" s="44">
        <v>88.6</v>
      </c>
      <c r="V24" s="30">
        <f t="shared" si="9"/>
        <v>1</v>
      </c>
      <c r="W24" s="28">
        <v>9062.1577870000001</v>
      </c>
      <c r="X24" s="33">
        <f t="shared" si="0"/>
        <v>0</v>
      </c>
      <c r="Y24" s="48">
        <v>110.29382967948909</v>
      </c>
    </row>
    <row r="25" spans="1:25" x14ac:dyDescent="0.35">
      <c r="A25" s="7" t="s">
        <v>44</v>
      </c>
      <c r="B25" t="s">
        <v>115</v>
      </c>
      <c r="C25">
        <v>300</v>
      </c>
      <c r="D25">
        <v>300</v>
      </c>
      <c r="E25" s="26">
        <v>16135.8824</v>
      </c>
      <c r="F25" s="30">
        <f t="shared" si="7"/>
        <v>0</v>
      </c>
      <c r="G25">
        <v>16137.543535999999</v>
      </c>
      <c r="H25" s="33">
        <f t="shared" si="1"/>
        <v>1.0294670962641655E-4</v>
      </c>
      <c r="I25" s="48">
        <v>3605.9</v>
      </c>
      <c r="J25" s="30">
        <f t="shared" si="8"/>
        <v>1</v>
      </c>
      <c r="K25">
        <v>16136.425788000161</v>
      </c>
      <c r="L25" s="33">
        <f t="shared" si="2"/>
        <v>3.3675753621018026E-5</v>
      </c>
      <c r="M25" s="48">
        <v>3605.7421450614929</v>
      </c>
      <c r="N25" s="30">
        <f t="shared" si="3"/>
        <v>1</v>
      </c>
      <c r="O25" s="28">
        <v>16135.8824</v>
      </c>
      <c r="P25" s="33">
        <f t="shared" si="4"/>
        <v>0</v>
      </c>
      <c r="Q25" s="43">
        <v>31328</v>
      </c>
      <c r="R25" s="30">
        <f t="shared" si="5"/>
        <v>0</v>
      </c>
      <c r="S25" s="28">
        <v>16143.27126</v>
      </c>
      <c r="T25" s="33">
        <f t="shared" si="6"/>
        <v>4.5791483953794266E-4</v>
      </c>
      <c r="U25" s="44">
        <v>6265.6</v>
      </c>
      <c r="V25" s="30">
        <f t="shared" si="9"/>
        <v>0</v>
      </c>
      <c r="W25" s="28">
        <v>16139.232803998741</v>
      </c>
      <c r="X25" s="33">
        <f t="shared" si="0"/>
        <v>2.0763686271908801E-4</v>
      </c>
      <c r="Y25" s="48">
        <v>3602.6060307025909</v>
      </c>
    </row>
    <row r="26" spans="1:25" x14ac:dyDescent="0.35">
      <c r="A26" s="7" t="s">
        <v>45</v>
      </c>
      <c r="B26" t="s">
        <v>115</v>
      </c>
      <c r="C26">
        <v>300</v>
      </c>
      <c r="D26">
        <v>300</v>
      </c>
      <c r="E26" s="26">
        <v>9077.85</v>
      </c>
      <c r="F26" s="30">
        <f t="shared" si="7"/>
        <v>1</v>
      </c>
      <c r="G26">
        <v>9077.851435999999</v>
      </c>
      <c r="H26" s="33">
        <f t="shared" si="1"/>
        <v>1.5818723581554941E-7</v>
      </c>
      <c r="I26" s="48">
        <v>781.6</v>
      </c>
      <c r="J26" s="30">
        <f t="shared" si="8"/>
        <v>1</v>
      </c>
      <c r="K26">
        <v>9077.8514359999936</v>
      </c>
      <c r="L26" s="33">
        <f t="shared" si="2"/>
        <v>1.5818723521441939E-7</v>
      </c>
      <c r="M26" s="48">
        <v>119.94826817512509</v>
      </c>
      <c r="N26" s="30">
        <f t="shared" si="3"/>
        <v>1</v>
      </c>
      <c r="O26" s="28">
        <v>9077.8513999999996</v>
      </c>
      <c r="P26" s="33">
        <f t="shared" si="4"/>
        <v>1.5422153915231292E-7</v>
      </c>
      <c r="Q26" s="43">
        <v>1105</v>
      </c>
      <c r="R26" s="30">
        <f t="shared" si="5"/>
        <v>1</v>
      </c>
      <c r="S26" s="28">
        <v>9077.8513999999996</v>
      </c>
      <c r="T26" s="33">
        <f t="shared" si="6"/>
        <v>1.5422153915231292E-7</v>
      </c>
      <c r="U26" s="44">
        <v>221</v>
      </c>
      <c r="V26" s="30">
        <f t="shared" si="9"/>
        <v>1</v>
      </c>
      <c r="W26" s="28">
        <v>9077.8514360000008</v>
      </c>
      <c r="X26" s="33">
        <f t="shared" si="0"/>
        <v>1.5818723601592609E-7</v>
      </c>
      <c r="Y26" s="48">
        <v>113.0427389144897</v>
      </c>
    </row>
    <row r="27" spans="1:25" x14ac:dyDescent="0.35">
      <c r="A27" s="7" t="s">
        <v>46</v>
      </c>
      <c r="B27" t="s">
        <v>115</v>
      </c>
      <c r="C27">
        <v>300</v>
      </c>
      <c r="D27">
        <v>300</v>
      </c>
      <c r="E27" s="26">
        <v>15661.683886000001</v>
      </c>
      <c r="F27" s="30">
        <f t="shared" si="7"/>
        <v>1</v>
      </c>
      <c r="G27">
        <v>15661.683886000001</v>
      </c>
      <c r="H27" s="33">
        <f t="shared" si="1"/>
        <v>0</v>
      </c>
      <c r="I27" s="48">
        <v>3607.9</v>
      </c>
      <c r="J27" s="30">
        <f t="shared" si="8"/>
        <v>0</v>
      </c>
      <c r="K27">
        <v>15679.014875999999</v>
      </c>
      <c r="L27" s="33">
        <f t="shared" si="2"/>
        <v>1.1065853535385654E-3</v>
      </c>
      <c r="M27" s="48">
        <v>3603.790067672729</v>
      </c>
      <c r="N27" s="30">
        <f t="shared" si="3"/>
        <v>0</v>
      </c>
      <c r="O27" s="28">
        <v>15679.0149</v>
      </c>
      <c r="P27" s="33">
        <f t="shared" si="4"/>
        <v>1.1065868859408935E-3</v>
      </c>
      <c r="Q27" s="43">
        <v>13842</v>
      </c>
      <c r="R27" s="30">
        <f t="shared" si="5"/>
        <v>0</v>
      </c>
      <c r="S27" s="28">
        <v>15684.25302</v>
      </c>
      <c r="T27" s="33">
        <f t="shared" si="6"/>
        <v>1.4410413442308061E-3</v>
      </c>
      <c r="U27" s="44">
        <v>2768.4</v>
      </c>
      <c r="V27" s="30">
        <f t="shared" si="9"/>
        <v>0</v>
      </c>
      <c r="W27" s="28">
        <v>15679.014875999999</v>
      </c>
      <c r="X27" s="33">
        <f t="shared" si="0"/>
        <v>1.1065853535385654E-3</v>
      </c>
      <c r="Y27" s="48">
        <v>2935.7245872020721</v>
      </c>
    </row>
    <row r="28" spans="1:25" x14ac:dyDescent="0.35">
      <c r="A28" s="7" t="s">
        <v>47</v>
      </c>
      <c r="B28" t="s">
        <v>115</v>
      </c>
      <c r="C28">
        <v>300</v>
      </c>
      <c r="D28">
        <v>300</v>
      </c>
      <c r="E28" s="26">
        <v>18215.87</v>
      </c>
      <c r="F28" s="30">
        <f t="shared" si="7"/>
        <v>0</v>
      </c>
      <c r="G28">
        <v>18226.580414</v>
      </c>
      <c r="H28" s="33">
        <f t="shared" si="1"/>
        <v>5.8797158741257145E-4</v>
      </c>
      <c r="I28" s="48">
        <v>3605.7</v>
      </c>
      <c r="J28" s="30">
        <f t="shared" si="8"/>
        <v>0</v>
      </c>
      <c r="K28">
        <v>18225.80339200018</v>
      </c>
      <c r="L28" s="33">
        <f t="shared" si="2"/>
        <v>5.4531526631343451E-4</v>
      </c>
      <c r="M28" s="48">
        <v>3605.353253126144</v>
      </c>
      <c r="N28" s="30">
        <f t="shared" si="3"/>
        <v>1</v>
      </c>
      <c r="O28" s="28">
        <v>18215.872100000001</v>
      </c>
      <c r="P28" s="33">
        <f t="shared" si="4"/>
        <v>1.1528409027508541E-7</v>
      </c>
      <c r="Q28" s="43">
        <v>29190</v>
      </c>
      <c r="R28" s="30">
        <f t="shared" si="5"/>
        <v>0</v>
      </c>
      <c r="S28" s="28">
        <v>18250.173320000002</v>
      </c>
      <c r="T28" s="33">
        <f t="shared" si="6"/>
        <v>1.8831557317878704E-3</v>
      </c>
      <c r="U28" s="44">
        <v>5838</v>
      </c>
      <c r="V28" s="30">
        <f t="shared" si="9"/>
        <v>0</v>
      </c>
      <c r="W28" s="28">
        <v>18273.040831000279</v>
      </c>
      <c r="X28" s="33">
        <f t="shared" si="0"/>
        <v>3.1385177320808495E-3</v>
      </c>
      <c r="Y28" s="48">
        <v>3605.1057412624359</v>
      </c>
    </row>
    <row r="29" spans="1:25" x14ac:dyDescent="0.35">
      <c r="A29" s="7" t="s">
        <v>48</v>
      </c>
      <c r="B29" t="s">
        <v>115</v>
      </c>
      <c r="C29">
        <v>300</v>
      </c>
      <c r="D29">
        <v>300</v>
      </c>
      <c r="E29" s="26">
        <v>18281.814079</v>
      </c>
      <c r="F29" s="30">
        <f t="shared" si="7"/>
        <v>1</v>
      </c>
      <c r="G29">
        <v>18281.814079</v>
      </c>
      <c r="H29" s="33">
        <f t="shared" si="1"/>
        <v>0</v>
      </c>
      <c r="I29" s="48">
        <v>3606.5</v>
      </c>
      <c r="J29" s="30">
        <f t="shared" si="8"/>
        <v>0</v>
      </c>
      <c r="K29">
        <v>18288.058265000051</v>
      </c>
      <c r="L29" s="33">
        <f t="shared" si="2"/>
        <v>3.415517723278577E-4</v>
      </c>
      <c r="M29" s="48">
        <v>3606.1249961853032</v>
      </c>
      <c r="N29" s="30">
        <f t="shared" si="3"/>
        <v>0</v>
      </c>
      <c r="O29" s="28">
        <v>18288.058300000001</v>
      </c>
      <c r="P29" s="33">
        <f t="shared" si="4"/>
        <v>3.4155368679596529E-4</v>
      </c>
      <c r="Q29" s="43">
        <v>26320</v>
      </c>
      <c r="R29" s="30">
        <f t="shared" si="5"/>
        <v>0</v>
      </c>
      <c r="S29" s="28">
        <v>18296.7317</v>
      </c>
      <c r="T29" s="33">
        <f t="shared" si="6"/>
        <v>8.1598144120369979E-4</v>
      </c>
      <c r="U29" s="44">
        <v>5264</v>
      </c>
      <c r="V29" s="30">
        <f t="shared" si="9"/>
        <v>0</v>
      </c>
      <c r="W29" s="28">
        <v>18290.020097000001</v>
      </c>
      <c r="X29" s="33">
        <f t="shared" si="0"/>
        <v>4.4886234837202926E-4</v>
      </c>
      <c r="Y29" s="48">
        <v>3604.0903902053828</v>
      </c>
    </row>
    <row r="30" spans="1:25" x14ac:dyDescent="0.35">
      <c r="A30" s="7" t="s">
        <v>49</v>
      </c>
      <c r="B30" t="s">
        <v>115</v>
      </c>
      <c r="C30">
        <v>300</v>
      </c>
      <c r="D30">
        <v>300</v>
      </c>
      <c r="E30" s="26">
        <v>11326.4298</v>
      </c>
      <c r="F30" s="30">
        <f t="shared" si="7"/>
        <v>1</v>
      </c>
      <c r="G30">
        <v>11326.429843</v>
      </c>
      <c r="H30" s="33">
        <f t="shared" si="1"/>
        <v>3.7964301871294232E-9</v>
      </c>
      <c r="I30" s="48">
        <v>945.9</v>
      </c>
      <c r="J30" s="30">
        <f t="shared" si="8"/>
        <v>1</v>
      </c>
      <c r="K30">
        <v>11326.429843</v>
      </c>
      <c r="L30" s="33">
        <f t="shared" si="2"/>
        <v>3.7964301871294232E-9</v>
      </c>
      <c r="M30" s="48">
        <v>1261.39598274231</v>
      </c>
      <c r="N30" s="30">
        <f t="shared" si="3"/>
        <v>1</v>
      </c>
      <c r="O30" s="28">
        <v>11326.4298</v>
      </c>
      <c r="P30" s="33">
        <f t="shared" si="4"/>
        <v>0</v>
      </c>
      <c r="Q30" s="43">
        <v>28919</v>
      </c>
      <c r="R30" s="30">
        <f t="shared" si="5"/>
        <v>0</v>
      </c>
      <c r="S30" s="28">
        <v>11336.893840000001</v>
      </c>
      <c r="T30" s="33">
        <f t="shared" si="6"/>
        <v>9.2386040303721751E-4</v>
      </c>
      <c r="U30" s="44">
        <v>5783.8</v>
      </c>
      <c r="V30" s="30">
        <f t="shared" si="9"/>
        <v>1</v>
      </c>
      <c r="W30" s="28">
        <v>11326.429843</v>
      </c>
      <c r="X30" s="33">
        <f t="shared" si="0"/>
        <v>3.7964301871294232E-9</v>
      </c>
      <c r="Y30" s="48">
        <v>740.97742366790771</v>
      </c>
    </row>
    <row r="31" spans="1:25" x14ac:dyDescent="0.35">
      <c r="A31" s="7" t="s">
        <v>50</v>
      </c>
      <c r="B31" t="s">
        <v>115</v>
      </c>
      <c r="C31">
        <v>300</v>
      </c>
      <c r="D31">
        <v>300</v>
      </c>
      <c r="E31" s="26">
        <v>11470.31</v>
      </c>
      <c r="F31" s="30">
        <f t="shared" si="7"/>
        <v>1</v>
      </c>
      <c r="G31">
        <v>11470.314537</v>
      </c>
      <c r="H31" s="33">
        <f t="shared" si="1"/>
        <v>3.9554292784673372E-7</v>
      </c>
      <c r="I31" s="48">
        <v>505</v>
      </c>
      <c r="J31" s="30">
        <f t="shared" si="8"/>
        <v>1</v>
      </c>
      <c r="K31">
        <v>11470.314537</v>
      </c>
      <c r="L31" s="33">
        <f t="shared" si="2"/>
        <v>3.9554292784673372E-7</v>
      </c>
      <c r="M31" s="48">
        <v>3502.8682179450989</v>
      </c>
      <c r="N31" s="30">
        <f t="shared" si="3"/>
        <v>1</v>
      </c>
      <c r="O31" s="28">
        <v>11470.3145</v>
      </c>
      <c r="P31" s="33">
        <f t="shared" si="4"/>
        <v>3.9231720859477827E-7</v>
      </c>
      <c r="Q31" s="43">
        <v>2480</v>
      </c>
      <c r="R31" s="30">
        <f t="shared" si="5"/>
        <v>1</v>
      </c>
      <c r="S31" s="28">
        <v>11470.3145</v>
      </c>
      <c r="T31" s="33">
        <f t="shared" si="6"/>
        <v>3.9231720859477827E-7</v>
      </c>
      <c r="U31" s="44">
        <v>496</v>
      </c>
      <c r="V31" s="30">
        <f t="shared" si="9"/>
        <v>1</v>
      </c>
      <c r="W31" s="28">
        <v>11470.31453699998</v>
      </c>
      <c r="X31" s="33">
        <f t="shared" si="0"/>
        <v>3.9554292610232717E-7</v>
      </c>
      <c r="Y31" s="48">
        <v>864.64770746231079</v>
      </c>
    </row>
    <row r="32" spans="1:25" x14ac:dyDescent="0.35">
      <c r="A32" s="7" t="s">
        <v>51</v>
      </c>
      <c r="B32" t="s">
        <v>115</v>
      </c>
      <c r="C32">
        <v>300</v>
      </c>
      <c r="D32">
        <v>300</v>
      </c>
      <c r="E32" s="26">
        <v>11449.67</v>
      </c>
      <c r="F32" s="30">
        <f t="shared" si="7"/>
        <v>1</v>
      </c>
      <c r="G32">
        <v>11449.670518000001</v>
      </c>
      <c r="H32" s="33">
        <f t="shared" si="1"/>
        <v>4.5241478639868119E-8</v>
      </c>
      <c r="I32" s="48">
        <v>278</v>
      </c>
      <c r="J32" s="30">
        <f t="shared" si="8"/>
        <v>1</v>
      </c>
      <c r="K32">
        <v>11449.670518000001</v>
      </c>
      <c r="L32" s="33">
        <f t="shared" si="2"/>
        <v>4.5241478639868119E-8</v>
      </c>
      <c r="M32" s="48">
        <v>284.01760411262512</v>
      </c>
      <c r="N32" s="30">
        <f t="shared" si="3"/>
        <v>1</v>
      </c>
      <c r="O32" s="28">
        <v>11449.6705</v>
      </c>
      <c r="P32" s="33">
        <f t="shared" si="4"/>
        <v>4.3669380873148608E-8</v>
      </c>
      <c r="Q32" s="43">
        <v>556</v>
      </c>
      <c r="R32" s="30">
        <f t="shared" si="5"/>
        <v>1</v>
      </c>
      <c r="S32" s="28">
        <v>11449.6705</v>
      </c>
      <c r="T32" s="33">
        <f t="shared" si="6"/>
        <v>4.3669380873148608E-8</v>
      </c>
      <c r="U32" s="44">
        <v>111.2</v>
      </c>
      <c r="V32" s="30">
        <f t="shared" si="9"/>
        <v>1</v>
      </c>
      <c r="W32" s="28">
        <v>11449.67051800001</v>
      </c>
      <c r="X32" s="33">
        <f t="shared" si="0"/>
        <v>4.5241479434209528E-8</v>
      </c>
      <c r="Y32" s="48">
        <v>296.15490913391108</v>
      </c>
    </row>
    <row r="33" spans="1:25" x14ac:dyDescent="0.35">
      <c r="A33" s="7" t="s">
        <v>52</v>
      </c>
      <c r="B33" t="s">
        <v>115</v>
      </c>
      <c r="C33">
        <v>300</v>
      </c>
      <c r="D33">
        <v>300</v>
      </c>
      <c r="E33" s="26">
        <v>10932.88</v>
      </c>
      <c r="F33" s="30">
        <f t="shared" si="7"/>
        <v>1</v>
      </c>
      <c r="G33">
        <v>10932.880794999999</v>
      </c>
      <c r="H33" s="33">
        <f t="shared" si="1"/>
        <v>7.2716429698807113E-8</v>
      </c>
      <c r="I33" s="48">
        <v>243</v>
      </c>
      <c r="J33" s="30">
        <f t="shared" si="8"/>
        <v>1</v>
      </c>
      <c r="K33">
        <v>10932.880794999999</v>
      </c>
      <c r="L33" s="33">
        <f t="shared" si="2"/>
        <v>7.2716429698807113E-8</v>
      </c>
      <c r="M33" s="48">
        <v>233.45049166679379</v>
      </c>
      <c r="N33" s="30">
        <f t="shared" si="3"/>
        <v>1</v>
      </c>
      <c r="O33" s="28">
        <v>10932.880800000001</v>
      </c>
      <c r="P33" s="33">
        <f t="shared" si="4"/>
        <v>7.3173765889516121E-8</v>
      </c>
      <c r="Q33" s="43">
        <v>887</v>
      </c>
      <c r="R33" s="30">
        <f t="shared" si="5"/>
        <v>1</v>
      </c>
      <c r="S33" s="28">
        <v>10932.880800000001</v>
      </c>
      <c r="T33" s="33">
        <f t="shared" si="6"/>
        <v>7.3173765889516121E-8</v>
      </c>
      <c r="U33" s="44">
        <v>177.4</v>
      </c>
      <c r="V33" s="30">
        <f t="shared" si="9"/>
        <v>1</v>
      </c>
      <c r="W33" s="28">
        <v>10932.880794999999</v>
      </c>
      <c r="X33" s="33">
        <f t="shared" si="0"/>
        <v>7.2716429698807113E-8</v>
      </c>
      <c r="Y33" s="48">
        <v>206.00674533843991</v>
      </c>
    </row>
    <row r="34" spans="1:25" x14ac:dyDescent="0.35">
      <c r="A34" s="7" t="s">
        <v>53</v>
      </c>
      <c r="B34" t="s">
        <v>116</v>
      </c>
      <c r="C34">
        <v>300</v>
      </c>
      <c r="D34">
        <v>1500</v>
      </c>
      <c r="E34" s="26">
        <v>154999.14000000001</v>
      </c>
      <c r="F34" s="30">
        <f t="shared" si="7"/>
        <v>1</v>
      </c>
      <c r="G34">
        <v>155006.315833</v>
      </c>
      <c r="H34" s="33">
        <f t="shared" si="1"/>
        <v>4.6295953641978892E-5</v>
      </c>
      <c r="I34" s="48">
        <v>270.7</v>
      </c>
      <c r="J34" s="30">
        <f t="shared" si="8"/>
        <v>1</v>
      </c>
      <c r="K34">
        <v>155000.81242600011</v>
      </c>
      <c r="L34" s="33">
        <f t="shared" si="2"/>
        <v>1.0789905028453355E-5</v>
      </c>
      <c r="M34" s="48">
        <v>318.33622407913208</v>
      </c>
      <c r="N34" s="30">
        <f t="shared" si="3"/>
        <v>1</v>
      </c>
      <c r="O34" s="28">
        <v>154999.141</v>
      </c>
      <c r="P34" s="33">
        <f t="shared" si="4"/>
        <v>6.4516486303716932E-9</v>
      </c>
      <c r="Q34" s="43">
        <v>1029</v>
      </c>
      <c r="R34" s="30">
        <f t="shared" si="5"/>
        <v>1</v>
      </c>
      <c r="S34" s="28">
        <v>154999.141</v>
      </c>
      <c r="T34" s="33">
        <f t="shared" si="6"/>
        <v>6.4516486303716932E-9</v>
      </c>
      <c r="U34" s="44">
        <v>205.8</v>
      </c>
      <c r="V34" s="30">
        <f t="shared" si="9"/>
        <v>1</v>
      </c>
      <c r="W34" s="28">
        <v>155005.64453300001</v>
      </c>
      <c r="X34" s="33">
        <f t="shared" ref="X34:X65" si="10">(W34-$E34)/$E34</f>
        <v>4.1964961870106859E-5</v>
      </c>
      <c r="Y34" s="48">
        <v>292.46903562545782</v>
      </c>
    </row>
    <row r="35" spans="1:25" x14ac:dyDescent="0.35">
      <c r="A35" s="7" t="s">
        <v>54</v>
      </c>
      <c r="B35" t="s">
        <v>116</v>
      </c>
      <c r="C35">
        <v>300</v>
      </c>
      <c r="D35">
        <v>1500</v>
      </c>
      <c r="E35" s="26">
        <v>159438.02710000001</v>
      </c>
      <c r="F35" s="30">
        <f t="shared" si="7"/>
        <v>1</v>
      </c>
      <c r="G35">
        <v>159438.02713999999</v>
      </c>
      <c r="H35" s="33">
        <f t="shared" si="1"/>
        <v>2.5088108003564085E-10</v>
      </c>
      <c r="I35" s="48">
        <v>458.7</v>
      </c>
      <c r="J35" s="30">
        <f t="shared" si="8"/>
        <v>1</v>
      </c>
      <c r="K35">
        <v>159438.02713999999</v>
      </c>
      <c r="L35" s="33">
        <f t="shared" si="2"/>
        <v>2.5088108003564085E-10</v>
      </c>
      <c r="M35" s="48">
        <v>382.44731736183172</v>
      </c>
      <c r="N35" s="30">
        <f t="shared" si="3"/>
        <v>1</v>
      </c>
      <c r="O35" s="28">
        <v>159438.02710000001</v>
      </c>
      <c r="P35" s="33">
        <f t="shared" si="4"/>
        <v>0</v>
      </c>
      <c r="Q35" s="43">
        <v>1927</v>
      </c>
      <c r="R35" s="30">
        <f t="shared" si="5"/>
        <v>1</v>
      </c>
      <c r="S35" s="28">
        <v>159438.02710000001</v>
      </c>
      <c r="T35" s="33">
        <f t="shared" si="6"/>
        <v>0</v>
      </c>
      <c r="U35" s="44">
        <v>385.4</v>
      </c>
      <c r="V35" s="30">
        <f t="shared" si="9"/>
        <v>1</v>
      </c>
      <c r="W35" s="28">
        <v>159440.03944299999</v>
      </c>
      <c r="X35" s="33">
        <f t="shared" si="10"/>
        <v>1.2621474541441557E-5</v>
      </c>
      <c r="Y35" s="48">
        <v>414.26493382453918</v>
      </c>
    </row>
    <row r="36" spans="1:25" x14ac:dyDescent="0.35">
      <c r="A36" s="7" t="s">
        <v>55</v>
      </c>
      <c r="B36" t="s">
        <v>116</v>
      </c>
      <c r="C36">
        <v>300</v>
      </c>
      <c r="D36">
        <v>1500</v>
      </c>
      <c r="E36" s="26">
        <v>157300.15</v>
      </c>
      <c r="F36" s="30">
        <f t="shared" si="7"/>
        <v>1</v>
      </c>
      <c r="G36">
        <v>157300.15137000001</v>
      </c>
      <c r="H36" s="33">
        <f t="shared" si="1"/>
        <v>8.7094641212014955E-9</v>
      </c>
      <c r="I36" s="48">
        <v>307.60000000000002</v>
      </c>
      <c r="J36" s="30">
        <f t="shared" si="8"/>
        <v>1</v>
      </c>
      <c r="K36">
        <v>157300.15137000001</v>
      </c>
      <c r="L36" s="33">
        <f t="shared" si="2"/>
        <v>8.7094641212014955E-9</v>
      </c>
      <c r="M36" s="48">
        <v>386.01617217063898</v>
      </c>
      <c r="N36" s="30">
        <f t="shared" si="3"/>
        <v>1</v>
      </c>
      <c r="O36" s="28">
        <v>157300.1514</v>
      </c>
      <c r="P36" s="33">
        <f t="shared" si="4"/>
        <v>8.9001822839251647E-9</v>
      </c>
      <c r="Q36" s="43">
        <v>18706</v>
      </c>
      <c r="R36" s="30">
        <f t="shared" si="5"/>
        <v>1</v>
      </c>
      <c r="S36" s="28">
        <v>157306.40612</v>
      </c>
      <c r="T36" s="33">
        <f t="shared" si="6"/>
        <v>3.9771862900356213E-5</v>
      </c>
      <c r="U36" s="44">
        <v>3741.2</v>
      </c>
      <c r="V36" s="30">
        <f t="shared" si="9"/>
        <v>1</v>
      </c>
      <c r="W36" s="28">
        <v>157304.92095000009</v>
      </c>
      <c r="X36" s="33">
        <f t="shared" si="10"/>
        <v>3.0330231726370591E-5</v>
      </c>
      <c r="Y36" s="48">
        <v>327.3750262260437</v>
      </c>
    </row>
    <row r="37" spans="1:25" x14ac:dyDescent="0.35">
      <c r="A37" s="7" t="s">
        <v>56</v>
      </c>
      <c r="B37" t="s">
        <v>116</v>
      </c>
      <c r="C37">
        <v>300</v>
      </c>
      <c r="D37">
        <v>1500</v>
      </c>
      <c r="E37" s="26">
        <v>157757.62</v>
      </c>
      <c r="F37" s="30">
        <f t="shared" si="7"/>
        <v>1</v>
      </c>
      <c r="G37">
        <v>157757.62484599941</v>
      </c>
      <c r="H37" s="33">
        <f t="shared" si="1"/>
        <v>3.0718005343268006E-8</v>
      </c>
      <c r="I37" s="48">
        <v>1393.4</v>
      </c>
      <c r="J37" s="30">
        <f t="shared" si="8"/>
        <v>1</v>
      </c>
      <c r="K37">
        <v>157762.70965999999</v>
      </c>
      <c r="L37" s="33">
        <f t="shared" si="2"/>
        <v>3.2262530329741416E-5</v>
      </c>
      <c r="M37" s="48">
        <v>236.95540022850039</v>
      </c>
      <c r="N37" s="30">
        <f t="shared" si="3"/>
        <v>1</v>
      </c>
      <c r="O37" s="28">
        <v>157757.62479999999</v>
      </c>
      <c r="P37" s="33">
        <f t="shared" si="4"/>
        <v>3.0426422477450681E-8</v>
      </c>
      <c r="Q37" s="43">
        <v>650</v>
      </c>
      <c r="R37" s="30">
        <f t="shared" si="5"/>
        <v>1</v>
      </c>
      <c r="S37" s="28">
        <v>157757.62479999999</v>
      </c>
      <c r="T37" s="33">
        <f t="shared" si="6"/>
        <v>3.0426422477450681E-8</v>
      </c>
      <c r="U37" s="44">
        <v>130</v>
      </c>
      <c r="V37" s="30">
        <f t="shared" si="9"/>
        <v>1</v>
      </c>
      <c r="W37" s="28">
        <v>157757.62484599999</v>
      </c>
      <c r="X37" s="33">
        <f t="shared" si="10"/>
        <v>3.0718009032957348E-8</v>
      </c>
      <c r="Y37" s="48">
        <v>371.5995888710022</v>
      </c>
    </row>
    <row r="38" spans="1:25" x14ac:dyDescent="0.35">
      <c r="A38" s="7" t="s">
        <v>57</v>
      </c>
      <c r="B38" t="s">
        <v>116</v>
      </c>
      <c r="C38">
        <v>300</v>
      </c>
      <c r="D38">
        <v>1500</v>
      </c>
      <c r="E38" s="26">
        <v>150015.12625499989</v>
      </c>
      <c r="F38" s="30">
        <f t="shared" si="7"/>
        <v>1</v>
      </c>
      <c r="G38">
        <v>150015.12625499989</v>
      </c>
      <c r="H38" s="33">
        <f t="shared" si="1"/>
        <v>0</v>
      </c>
      <c r="I38" s="48">
        <v>943.4</v>
      </c>
      <c r="J38" s="30">
        <f t="shared" si="8"/>
        <v>1</v>
      </c>
      <c r="K38">
        <v>150015.12625500001</v>
      </c>
      <c r="L38" s="33">
        <f t="shared" si="2"/>
        <v>7.7602388994459665E-16</v>
      </c>
      <c r="M38" s="48">
        <v>140.96595931053159</v>
      </c>
      <c r="N38" s="30">
        <f t="shared" si="3"/>
        <v>1</v>
      </c>
      <c r="O38" s="28">
        <v>150015.1263</v>
      </c>
      <c r="P38" s="33">
        <f t="shared" si="4"/>
        <v>2.9997048261030394E-10</v>
      </c>
      <c r="Q38" s="43">
        <v>283</v>
      </c>
      <c r="R38" s="30">
        <f t="shared" si="5"/>
        <v>1</v>
      </c>
      <c r="S38" s="28">
        <v>150015.1263</v>
      </c>
      <c r="T38" s="33">
        <f t="shared" si="6"/>
        <v>2.9997048261030394E-10</v>
      </c>
      <c r="U38" s="44">
        <v>56.6</v>
      </c>
      <c r="V38" s="30">
        <f t="shared" si="9"/>
        <v>1</v>
      </c>
      <c r="W38" s="28">
        <v>150015.12625500001</v>
      </c>
      <c r="X38" s="33">
        <f t="shared" si="10"/>
        <v>7.7602388994459665E-16</v>
      </c>
      <c r="Y38" s="48">
        <v>426.52683973312378</v>
      </c>
    </row>
    <row r="39" spans="1:25" x14ac:dyDescent="0.35">
      <c r="A39" s="7" t="s">
        <v>58</v>
      </c>
      <c r="B39" t="s">
        <v>116</v>
      </c>
      <c r="C39">
        <v>300</v>
      </c>
      <c r="D39">
        <v>1500</v>
      </c>
      <c r="E39" s="26">
        <v>154937.66935700001</v>
      </c>
      <c r="F39" s="30">
        <f t="shared" si="7"/>
        <v>1</v>
      </c>
      <c r="G39">
        <v>154938.00366799999</v>
      </c>
      <c r="H39" s="33">
        <f t="shared" si="1"/>
        <v>2.1577128491190285E-6</v>
      </c>
      <c r="I39" s="48">
        <v>275.10000000000002</v>
      </c>
      <c r="J39" s="30">
        <f t="shared" si="8"/>
        <v>1</v>
      </c>
      <c r="K39">
        <v>154937.66935700309</v>
      </c>
      <c r="L39" s="33">
        <f t="shared" si="2"/>
        <v>1.9911271682456048E-14</v>
      </c>
      <c r="M39" s="48">
        <v>278.57715535163879</v>
      </c>
      <c r="N39" s="30">
        <f t="shared" si="3"/>
        <v>1</v>
      </c>
      <c r="O39" s="28">
        <v>154937.66940000001</v>
      </c>
      <c r="P39" s="33">
        <f t="shared" si="4"/>
        <v>2.7753100623968545E-10</v>
      </c>
      <c r="Q39" s="43">
        <v>501</v>
      </c>
      <c r="R39" s="30">
        <f t="shared" si="5"/>
        <v>1</v>
      </c>
      <c r="S39" s="28">
        <v>154937.66940000001</v>
      </c>
      <c r="T39" s="33">
        <f t="shared" si="6"/>
        <v>2.7753100623968545E-10</v>
      </c>
      <c r="U39" s="44">
        <v>100.2</v>
      </c>
      <c r="V39" s="30">
        <f t="shared" si="9"/>
        <v>1</v>
      </c>
      <c r="W39" s="28">
        <v>154937.66935700001</v>
      </c>
      <c r="X39" s="33">
        <f t="shared" si="10"/>
        <v>0</v>
      </c>
      <c r="Y39" s="48">
        <v>364.4687397480011</v>
      </c>
    </row>
    <row r="40" spans="1:25" x14ac:dyDescent="0.35">
      <c r="A40" s="7" t="s">
        <v>59</v>
      </c>
      <c r="B40" t="s">
        <v>116</v>
      </c>
      <c r="C40">
        <v>300</v>
      </c>
      <c r="D40">
        <v>1500</v>
      </c>
      <c r="E40" s="26">
        <v>151608.41759200001</v>
      </c>
      <c r="F40" s="30">
        <f t="shared" si="7"/>
        <v>1</v>
      </c>
      <c r="G40">
        <v>151612.28316699999</v>
      </c>
      <c r="H40" s="33">
        <f t="shared" si="1"/>
        <v>2.5497100104145659E-5</v>
      </c>
      <c r="I40" s="48">
        <v>144.9</v>
      </c>
      <c r="J40" s="30">
        <f t="shared" si="8"/>
        <v>1</v>
      </c>
      <c r="K40">
        <v>151608.41759200001</v>
      </c>
      <c r="L40" s="33">
        <f t="shared" si="2"/>
        <v>0</v>
      </c>
      <c r="M40" s="48">
        <v>131.62421488761899</v>
      </c>
      <c r="N40" s="30">
        <f t="shared" si="3"/>
        <v>1</v>
      </c>
      <c r="O40" s="28">
        <v>151608.41759999999</v>
      </c>
      <c r="P40" s="33">
        <f t="shared" si="4"/>
        <v>5.2767344528221817E-11</v>
      </c>
      <c r="Q40" s="43">
        <v>307</v>
      </c>
      <c r="R40" s="30">
        <f t="shared" si="5"/>
        <v>1</v>
      </c>
      <c r="S40" s="28">
        <v>151608.41759999999</v>
      </c>
      <c r="T40" s="33">
        <f t="shared" si="6"/>
        <v>5.2767344528221817E-11</v>
      </c>
      <c r="U40" s="44">
        <v>61.4</v>
      </c>
      <c r="V40" s="30">
        <f t="shared" si="9"/>
        <v>1</v>
      </c>
      <c r="W40" s="28">
        <v>151614.698557</v>
      </c>
      <c r="X40" s="33">
        <f t="shared" si="10"/>
        <v>4.1428867207667388E-5</v>
      </c>
      <c r="Y40" s="48">
        <v>210.5703630447388</v>
      </c>
    </row>
    <row r="41" spans="1:25" x14ac:dyDescent="0.35">
      <c r="A41" s="7" t="s">
        <v>60</v>
      </c>
      <c r="B41" t="s">
        <v>116</v>
      </c>
      <c r="C41">
        <v>300</v>
      </c>
      <c r="D41">
        <v>1500</v>
      </c>
      <c r="E41" s="26">
        <v>151848.04560000001</v>
      </c>
      <c r="F41" s="30">
        <f t="shared" si="7"/>
        <v>1</v>
      </c>
      <c r="G41">
        <v>151849.29263800001</v>
      </c>
      <c r="H41" s="33">
        <f t="shared" si="1"/>
        <v>8.212407312019689E-6</v>
      </c>
      <c r="I41" s="48">
        <v>177.8</v>
      </c>
      <c r="J41" s="30">
        <f t="shared" si="8"/>
        <v>1</v>
      </c>
      <c r="K41">
        <v>151848.04563800001</v>
      </c>
      <c r="L41" s="33">
        <f t="shared" si="2"/>
        <v>2.5025016398659193E-10</v>
      </c>
      <c r="M41" s="48">
        <v>115.3089745044708</v>
      </c>
      <c r="N41" s="30">
        <f t="shared" si="3"/>
        <v>1</v>
      </c>
      <c r="O41" s="28">
        <v>151848.04560000001</v>
      </c>
      <c r="P41" s="33">
        <f t="shared" si="4"/>
        <v>0</v>
      </c>
      <c r="Q41" s="43">
        <v>377</v>
      </c>
      <c r="R41" s="30">
        <f t="shared" si="5"/>
        <v>1</v>
      </c>
      <c r="S41" s="28">
        <v>151848.04560000001</v>
      </c>
      <c r="T41" s="33">
        <f t="shared" si="6"/>
        <v>0</v>
      </c>
      <c r="U41" s="44">
        <v>75.400000000000006</v>
      </c>
      <c r="V41" s="30">
        <f t="shared" si="9"/>
        <v>1</v>
      </c>
      <c r="W41" s="28">
        <v>151848.04563800001</v>
      </c>
      <c r="X41" s="33">
        <f t="shared" si="10"/>
        <v>2.5025016398659193E-10</v>
      </c>
      <c r="Y41" s="48">
        <v>258.89072871208191</v>
      </c>
    </row>
    <row r="42" spans="1:25" x14ac:dyDescent="0.35">
      <c r="A42" s="7" t="s">
        <v>61</v>
      </c>
      <c r="B42" t="s">
        <v>116</v>
      </c>
      <c r="C42">
        <v>300</v>
      </c>
      <c r="D42">
        <v>1500</v>
      </c>
      <c r="E42" s="26">
        <v>156480.88658699999</v>
      </c>
      <c r="F42" s="30">
        <f t="shared" si="7"/>
        <v>1</v>
      </c>
      <c r="G42">
        <v>156480.88658699999</v>
      </c>
      <c r="H42" s="33">
        <f t="shared" si="1"/>
        <v>0</v>
      </c>
      <c r="I42" s="48">
        <v>278.89999999999998</v>
      </c>
      <c r="J42" s="30">
        <f t="shared" si="8"/>
        <v>1</v>
      </c>
      <c r="K42">
        <v>156480.88658699999</v>
      </c>
      <c r="L42" s="33">
        <f t="shared" si="2"/>
        <v>0</v>
      </c>
      <c r="M42" s="48">
        <v>213.88067007064819</v>
      </c>
      <c r="N42" s="30">
        <f t="shared" si="3"/>
        <v>1</v>
      </c>
      <c r="O42" s="28">
        <v>156480.8866</v>
      </c>
      <c r="P42" s="33">
        <f t="shared" si="4"/>
        <v>8.307731353307942E-11</v>
      </c>
      <c r="Q42" s="43">
        <v>334</v>
      </c>
      <c r="R42" s="30">
        <f t="shared" si="5"/>
        <v>1</v>
      </c>
      <c r="S42" s="28">
        <v>156480.8866</v>
      </c>
      <c r="T42" s="33">
        <f t="shared" si="6"/>
        <v>8.307731353307942E-11</v>
      </c>
      <c r="U42" s="44">
        <v>66.8</v>
      </c>
      <c r="V42" s="30">
        <f t="shared" si="9"/>
        <v>1</v>
      </c>
      <c r="W42" s="28">
        <v>156480.88658699999</v>
      </c>
      <c r="X42" s="33">
        <f t="shared" si="10"/>
        <v>0</v>
      </c>
      <c r="Y42" s="48">
        <v>352.2221155166626</v>
      </c>
    </row>
    <row r="43" spans="1:25" x14ac:dyDescent="0.35">
      <c r="A43" s="7" t="s">
        <v>62</v>
      </c>
      <c r="B43" t="s">
        <v>116</v>
      </c>
      <c r="C43">
        <v>300</v>
      </c>
      <c r="D43">
        <v>1500</v>
      </c>
      <c r="E43" s="26">
        <v>155493.76999999999</v>
      </c>
      <c r="F43" s="30">
        <f t="shared" si="7"/>
        <v>1</v>
      </c>
      <c r="G43">
        <v>155505.170805</v>
      </c>
      <c r="H43" s="33">
        <f t="shared" si="1"/>
        <v>7.3320011470633467E-5</v>
      </c>
      <c r="I43" s="48">
        <v>116.6</v>
      </c>
      <c r="J43" s="30">
        <f t="shared" si="8"/>
        <v>1</v>
      </c>
      <c r="K43">
        <v>155493.77360099999</v>
      </c>
      <c r="L43" s="33">
        <f t="shared" si="2"/>
        <v>2.3158484124362896E-8</v>
      </c>
      <c r="M43" s="48">
        <v>107.3969717025757</v>
      </c>
      <c r="N43" s="30">
        <f t="shared" si="3"/>
        <v>1</v>
      </c>
      <c r="O43" s="28">
        <v>155493.77359999999</v>
      </c>
      <c r="P43" s="33">
        <f t="shared" si="4"/>
        <v>2.3152052949567319E-8</v>
      </c>
      <c r="Q43" s="43">
        <v>203</v>
      </c>
      <c r="R43" s="30">
        <f t="shared" si="5"/>
        <v>1</v>
      </c>
      <c r="S43" s="28">
        <v>155493.77359999999</v>
      </c>
      <c r="T43" s="33">
        <f t="shared" si="6"/>
        <v>2.3152052949567319E-8</v>
      </c>
      <c r="U43" s="44">
        <v>40.6</v>
      </c>
      <c r="V43" s="30">
        <f t="shared" si="9"/>
        <v>1</v>
      </c>
      <c r="W43" s="28">
        <v>155493.77360099999</v>
      </c>
      <c r="X43" s="33">
        <f t="shared" si="10"/>
        <v>2.3158484124362896E-8</v>
      </c>
      <c r="Y43" s="48">
        <v>201.0407190322876</v>
      </c>
    </row>
    <row r="44" spans="1:25" x14ac:dyDescent="0.35">
      <c r="A44" s="7" t="s">
        <v>63</v>
      </c>
      <c r="B44" t="s">
        <v>116</v>
      </c>
      <c r="C44">
        <v>300</v>
      </c>
      <c r="D44">
        <v>1500</v>
      </c>
      <c r="E44" s="26">
        <v>156038.035099</v>
      </c>
      <c r="F44" s="30">
        <f t="shared" si="7"/>
        <v>1</v>
      </c>
      <c r="G44">
        <v>156038.035099</v>
      </c>
      <c r="H44" s="33">
        <f t="shared" si="1"/>
        <v>0</v>
      </c>
      <c r="I44" s="48">
        <v>193.4</v>
      </c>
      <c r="J44" s="30">
        <f t="shared" si="8"/>
        <v>1</v>
      </c>
      <c r="K44">
        <v>156038.035099</v>
      </c>
      <c r="L44" s="33">
        <f t="shared" si="2"/>
        <v>0</v>
      </c>
      <c r="M44" s="48">
        <v>203.7271001338959</v>
      </c>
      <c r="N44" s="30">
        <f t="shared" si="3"/>
        <v>1</v>
      </c>
      <c r="O44" s="28">
        <v>156038.03510000001</v>
      </c>
      <c r="P44" s="33">
        <f t="shared" si="4"/>
        <v>6.4087426752003416E-12</v>
      </c>
      <c r="Q44" s="43">
        <v>194</v>
      </c>
      <c r="R44" s="30">
        <f t="shared" si="5"/>
        <v>1</v>
      </c>
      <c r="S44" s="28">
        <v>156038.03510000001</v>
      </c>
      <c r="T44" s="33">
        <f t="shared" si="6"/>
        <v>6.4087426752003416E-12</v>
      </c>
      <c r="U44" s="44">
        <v>38.799999999999997</v>
      </c>
      <c r="V44" s="30">
        <f t="shared" si="9"/>
        <v>1</v>
      </c>
      <c r="W44" s="28">
        <v>156047.27591200001</v>
      </c>
      <c r="X44" s="33">
        <f t="shared" si="10"/>
        <v>5.9221541684681723E-5</v>
      </c>
      <c r="Y44" s="48">
        <v>334.171311378479</v>
      </c>
    </row>
    <row r="45" spans="1:25" x14ac:dyDescent="0.35">
      <c r="A45" s="7" t="s">
        <v>64</v>
      </c>
      <c r="B45" t="s">
        <v>116</v>
      </c>
      <c r="C45">
        <v>300</v>
      </c>
      <c r="D45">
        <v>1500</v>
      </c>
      <c r="E45" s="26">
        <v>156790.75</v>
      </c>
      <c r="F45" s="30">
        <f t="shared" si="7"/>
        <v>1</v>
      </c>
      <c r="G45">
        <v>156790.751888</v>
      </c>
      <c r="H45" s="33">
        <f t="shared" si="1"/>
        <v>1.2041526677251285E-8</v>
      </c>
      <c r="I45" s="48">
        <v>221</v>
      </c>
      <c r="J45" s="30">
        <f t="shared" si="8"/>
        <v>1</v>
      </c>
      <c r="K45">
        <v>156790.75188799991</v>
      </c>
      <c r="L45" s="33">
        <f t="shared" si="2"/>
        <v>1.2041526120384944E-8</v>
      </c>
      <c r="M45" s="48">
        <v>161.75588512420649</v>
      </c>
      <c r="N45" s="30">
        <f t="shared" si="3"/>
        <v>1</v>
      </c>
      <c r="O45" s="28">
        <v>156790.7519</v>
      </c>
      <c r="P45" s="33">
        <f t="shared" si="4"/>
        <v>1.211806183039284E-8</v>
      </c>
      <c r="Q45" s="43">
        <v>296</v>
      </c>
      <c r="R45" s="30">
        <f t="shared" si="5"/>
        <v>1</v>
      </c>
      <c r="S45" s="28">
        <v>156790.7519</v>
      </c>
      <c r="T45" s="33">
        <f t="shared" si="6"/>
        <v>1.211806183039284E-8</v>
      </c>
      <c r="U45" s="44">
        <v>59.2</v>
      </c>
      <c r="V45" s="30">
        <f t="shared" si="9"/>
        <v>1</v>
      </c>
      <c r="W45" s="28">
        <v>156790.75188799991</v>
      </c>
      <c r="X45" s="33">
        <f t="shared" si="10"/>
        <v>1.2041526120384944E-8</v>
      </c>
      <c r="Y45" s="48">
        <v>280.80542039871222</v>
      </c>
    </row>
    <row r="46" spans="1:25" x14ac:dyDescent="0.35">
      <c r="A46" s="7" t="s">
        <v>65</v>
      </c>
      <c r="B46" t="s">
        <v>116</v>
      </c>
      <c r="C46">
        <v>300</v>
      </c>
      <c r="D46">
        <v>1500</v>
      </c>
      <c r="E46" s="26">
        <v>155947.12718599991</v>
      </c>
      <c r="F46" s="30">
        <f t="shared" si="7"/>
        <v>1</v>
      </c>
      <c r="G46">
        <v>155947.12718599991</v>
      </c>
      <c r="H46" s="33">
        <f t="shared" si="1"/>
        <v>0</v>
      </c>
      <c r="I46" s="48">
        <v>154.9</v>
      </c>
      <c r="J46" s="30">
        <f t="shared" si="8"/>
        <v>1</v>
      </c>
      <c r="K46">
        <v>155947.12718599991</v>
      </c>
      <c r="L46" s="33">
        <f t="shared" si="2"/>
        <v>0</v>
      </c>
      <c r="M46" s="48">
        <v>135.95052886009219</v>
      </c>
      <c r="N46" s="30">
        <f t="shared" si="3"/>
        <v>1</v>
      </c>
      <c r="O46" s="28">
        <v>155947.12719999999</v>
      </c>
      <c r="P46" s="33">
        <f t="shared" si="4"/>
        <v>8.9774513655379314E-11</v>
      </c>
      <c r="Q46" s="43">
        <v>198</v>
      </c>
      <c r="R46" s="30">
        <f t="shared" si="5"/>
        <v>1</v>
      </c>
      <c r="S46" s="28">
        <v>155947.12719999999</v>
      </c>
      <c r="T46" s="33">
        <f t="shared" si="6"/>
        <v>8.9774513655379314E-11</v>
      </c>
      <c r="U46" s="44">
        <v>39.6</v>
      </c>
      <c r="V46" s="30">
        <f t="shared" si="9"/>
        <v>1</v>
      </c>
      <c r="W46" s="28">
        <v>155947.12718599991</v>
      </c>
      <c r="X46" s="33">
        <f t="shared" si="10"/>
        <v>0</v>
      </c>
      <c r="Y46" s="48">
        <v>279.59024429321289</v>
      </c>
    </row>
    <row r="47" spans="1:25" x14ac:dyDescent="0.35">
      <c r="A47" s="7" t="s">
        <v>66</v>
      </c>
      <c r="B47" t="s">
        <v>116</v>
      </c>
      <c r="C47">
        <v>300</v>
      </c>
      <c r="D47">
        <v>1500</v>
      </c>
      <c r="E47" s="26">
        <v>156426.1372</v>
      </c>
      <c r="F47" s="30">
        <f t="shared" si="7"/>
        <v>1</v>
      </c>
      <c r="G47">
        <v>156430.872875</v>
      </c>
      <c r="H47" s="33">
        <f t="shared" si="1"/>
        <v>3.02741925663529E-5</v>
      </c>
      <c r="I47" s="48">
        <v>215.1</v>
      </c>
      <c r="J47" s="30">
        <f t="shared" si="8"/>
        <v>1</v>
      </c>
      <c r="K47">
        <v>156426.989971</v>
      </c>
      <c r="L47" s="33">
        <f t="shared" si="2"/>
        <v>5.4515889433169791E-6</v>
      </c>
      <c r="M47" s="48">
        <v>136.1166532039642</v>
      </c>
      <c r="N47" s="30">
        <f t="shared" si="3"/>
        <v>1</v>
      </c>
      <c r="O47" s="28">
        <v>156426.1372</v>
      </c>
      <c r="P47" s="33">
        <f t="shared" si="4"/>
        <v>0</v>
      </c>
      <c r="Q47" s="43">
        <v>391</v>
      </c>
      <c r="R47" s="30">
        <f t="shared" si="5"/>
        <v>1</v>
      </c>
      <c r="S47" s="28">
        <v>156426.1372</v>
      </c>
      <c r="T47" s="33">
        <f t="shared" si="6"/>
        <v>0</v>
      </c>
      <c r="U47" s="44">
        <v>78.2</v>
      </c>
      <c r="V47" s="30">
        <f t="shared" si="9"/>
        <v>1</v>
      </c>
      <c r="W47" s="28">
        <v>156430.847163</v>
      </c>
      <c r="X47" s="33">
        <f t="shared" si="10"/>
        <v>3.0109821058735147E-5</v>
      </c>
      <c r="Y47" s="48">
        <v>167.3210635185242</v>
      </c>
    </row>
    <row r="48" spans="1:25" x14ac:dyDescent="0.35">
      <c r="A48" s="7" t="s">
        <v>67</v>
      </c>
      <c r="B48" t="s">
        <v>116</v>
      </c>
      <c r="C48">
        <v>300</v>
      </c>
      <c r="D48">
        <v>1500</v>
      </c>
      <c r="E48" s="26">
        <v>157796.27979999999</v>
      </c>
      <c r="F48" s="30">
        <f t="shared" si="7"/>
        <v>1</v>
      </c>
      <c r="G48">
        <v>157796.27983899979</v>
      </c>
      <c r="H48" s="33">
        <f t="shared" si="1"/>
        <v>2.4715286221927563E-10</v>
      </c>
      <c r="I48" s="48">
        <v>341.9</v>
      </c>
      <c r="J48" s="30">
        <f t="shared" si="8"/>
        <v>1</v>
      </c>
      <c r="K48">
        <v>157796.27983900011</v>
      </c>
      <c r="L48" s="33">
        <f t="shared" si="2"/>
        <v>2.4715489105123183E-10</v>
      </c>
      <c r="M48" s="48">
        <v>476.35724186897278</v>
      </c>
      <c r="N48" s="30">
        <f t="shared" si="3"/>
        <v>1</v>
      </c>
      <c r="O48" s="28">
        <v>157796.27979999999</v>
      </c>
      <c r="P48" s="33">
        <f t="shared" si="4"/>
        <v>0</v>
      </c>
      <c r="Q48" s="43">
        <v>23489</v>
      </c>
      <c r="R48" s="30">
        <f t="shared" si="5"/>
        <v>1</v>
      </c>
      <c r="S48" s="28">
        <v>157796.27979999999</v>
      </c>
      <c r="T48" s="33">
        <f t="shared" si="6"/>
        <v>0</v>
      </c>
      <c r="U48" s="44">
        <v>4697.8</v>
      </c>
      <c r="V48" s="30">
        <f t="shared" si="9"/>
        <v>1</v>
      </c>
      <c r="W48" s="28">
        <v>157797.18115600001</v>
      </c>
      <c r="X48" s="33">
        <f t="shared" si="10"/>
        <v>5.7121498755173843E-6</v>
      </c>
      <c r="Y48" s="48">
        <v>462.78492999076838</v>
      </c>
    </row>
    <row r="49" spans="1:25" x14ac:dyDescent="0.35">
      <c r="A49" s="7" t="s">
        <v>68</v>
      </c>
      <c r="B49" t="s">
        <v>116</v>
      </c>
      <c r="C49">
        <v>300</v>
      </c>
      <c r="D49">
        <v>1500</v>
      </c>
      <c r="E49" s="26">
        <v>161305.97</v>
      </c>
      <c r="F49" s="30">
        <f t="shared" si="7"/>
        <v>1</v>
      </c>
      <c r="G49">
        <v>161305.97165800011</v>
      </c>
      <c r="H49" s="33">
        <f t="shared" si="1"/>
        <v>1.0278603514692675E-8</v>
      </c>
      <c r="I49" s="48">
        <v>803</v>
      </c>
      <c r="J49" s="30">
        <f t="shared" si="8"/>
        <v>1</v>
      </c>
      <c r="K49">
        <v>161307.76842400001</v>
      </c>
      <c r="L49" s="33">
        <f t="shared" si="2"/>
        <v>1.1149147176684154E-5</v>
      </c>
      <c r="M49" s="48">
        <v>289.24962735176092</v>
      </c>
      <c r="N49" s="30">
        <f t="shared" si="3"/>
        <v>1</v>
      </c>
      <c r="O49" s="28">
        <v>161305.97169999999</v>
      </c>
      <c r="P49" s="33">
        <f t="shared" si="4"/>
        <v>1.0538977530925704E-8</v>
      </c>
      <c r="Q49" s="43">
        <v>1932</v>
      </c>
      <c r="R49" s="30">
        <f t="shared" si="5"/>
        <v>1</v>
      </c>
      <c r="S49" s="28">
        <v>161305.97169999999</v>
      </c>
      <c r="T49" s="33">
        <f t="shared" si="6"/>
        <v>1.0538977530925704E-8</v>
      </c>
      <c r="U49" s="44">
        <v>386.4</v>
      </c>
      <c r="V49" s="30">
        <f t="shared" si="9"/>
        <v>1</v>
      </c>
      <c r="W49" s="28">
        <v>161309.2045839999</v>
      </c>
      <c r="X49" s="33">
        <f t="shared" si="10"/>
        <v>2.0052475428549899E-5</v>
      </c>
      <c r="Y49" s="48">
        <v>343.49646639823908</v>
      </c>
    </row>
    <row r="50" spans="1:25" x14ac:dyDescent="0.35">
      <c r="A50" s="7" t="s">
        <v>69</v>
      </c>
      <c r="B50" t="s">
        <v>116</v>
      </c>
      <c r="C50">
        <v>300</v>
      </c>
      <c r="D50">
        <v>1500</v>
      </c>
      <c r="E50" s="26">
        <v>156667.30929999999</v>
      </c>
      <c r="F50" s="30">
        <f t="shared" si="7"/>
        <v>1</v>
      </c>
      <c r="G50">
        <v>156669.28091999999</v>
      </c>
      <c r="H50" s="33">
        <f t="shared" si="1"/>
        <v>1.2584756889015003E-5</v>
      </c>
      <c r="I50" s="48">
        <v>189.9</v>
      </c>
      <c r="J50" s="30">
        <f t="shared" si="8"/>
        <v>1</v>
      </c>
      <c r="K50">
        <v>156667.30935000011</v>
      </c>
      <c r="L50" s="33">
        <f t="shared" si="2"/>
        <v>3.1914838528598128E-10</v>
      </c>
      <c r="M50" s="48">
        <v>256.51858448982239</v>
      </c>
      <c r="N50" s="30">
        <f t="shared" si="3"/>
        <v>1</v>
      </c>
      <c r="O50" s="28">
        <v>156667.30929999999</v>
      </c>
      <c r="P50" s="33">
        <f t="shared" si="4"/>
        <v>0</v>
      </c>
      <c r="Q50" s="43">
        <v>360</v>
      </c>
      <c r="R50" s="30">
        <f t="shared" si="5"/>
        <v>1</v>
      </c>
      <c r="S50" s="28">
        <v>156667.30929999999</v>
      </c>
      <c r="T50" s="33">
        <f t="shared" si="6"/>
        <v>0</v>
      </c>
      <c r="U50" s="44">
        <v>72</v>
      </c>
      <c r="V50" s="30">
        <f t="shared" si="9"/>
        <v>1</v>
      </c>
      <c r="W50" s="28">
        <v>156669.28091999999</v>
      </c>
      <c r="X50" s="33">
        <f t="shared" si="10"/>
        <v>1.2584756889015003E-5</v>
      </c>
      <c r="Y50" s="48">
        <v>294.17365574836731</v>
      </c>
    </row>
    <row r="51" spans="1:25" x14ac:dyDescent="0.35">
      <c r="A51" s="7" t="s">
        <v>70</v>
      </c>
      <c r="B51" t="s">
        <v>116</v>
      </c>
      <c r="C51">
        <v>300</v>
      </c>
      <c r="D51">
        <v>1500</v>
      </c>
      <c r="E51" s="26">
        <v>157031.54999999999</v>
      </c>
      <c r="F51" s="30">
        <f t="shared" si="7"/>
        <v>1</v>
      </c>
      <c r="G51">
        <v>157031.55302200001</v>
      </c>
      <c r="H51" s="33">
        <f t="shared" si="1"/>
        <v>1.9244540469561076E-8</v>
      </c>
      <c r="I51" s="48">
        <v>312.60000000000002</v>
      </c>
      <c r="J51" s="30">
        <f t="shared" si="8"/>
        <v>1</v>
      </c>
      <c r="K51">
        <v>157031.55302200001</v>
      </c>
      <c r="L51" s="33">
        <f t="shared" si="2"/>
        <v>1.9244540469561076E-8</v>
      </c>
      <c r="M51" s="48">
        <v>184.81389546394351</v>
      </c>
      <c r="N51" s="30">
        <f t="shared" si="3"/>
        <v>1</v>
      </c>
      <c r="O51" s="28">
        <v>157031.55300000001</v>
      </c>
      <c r="P51" s="33">
        <f t="shared" si="4"/>
        <v>1.9104441279965921E-8</v>
      </c>
      <c r="Q51" s="43">
        <v>470</v>
      </c>
      <c r="R51" s="30">
        <f t="shared" si="5"/>
        <v>1</v>
      </c>
      <c r="S51" s="28">
        <v>157031.55300000001</v>
      </c>
      <c r="T51" s="33">
        <f t="shared" si="6"/>
        <v>1.9104441279965921E-8</v>
      </c>
      <c r="U51" s="44">
        <v>94</v>
      </c>
      <c r="V51" s="30">
        <f t="shared" si="9"/>
        <v>1</v>
      </c>
      <c r="W51" s="28">
        <v>157031.55302200001</v>
      </c>
      <c r="X51" s="33">
        <f t="shared" si="10"/>
        <v>1.9244540469561076E-8</v>
      </c>
      <c r="Y51" s="48">
        <v>318.52694535255432</v>
      </c>
    </row>
    <row r="52" spans="1:25" x14ac:dyDescent="0.35">
      <c r="A52" s="7" t="s">
        <v>71</v>
      </c>
      <c r="B52" t="s">
        <v>116</v>
      </c>
      <c r="C52">
        <v>300</v>
      </c>
      <c r="D52">
        <v>1500</v>
      </c>
      <c r="E52" s="26">
        <v>157796.20790000001</v>
      </c>
      <c r="F52" s="30">
        <f t="shared" si="7"/>
        <v>1</v>
      </c>
      <c r="G52">
        <v>157796.20794399999</v>
      </c>
      <c r="H52" s="33">
        <f t="shared" si="1"/>
        <v>2.7884057783965797E-10</v>
      </c>
      <c r="I52" s="48">
        <v>362.8</v>
      </c>
      <c r="J52" s="30">
        <f t="shared" si="8"/>
        <v>1</v>
      </c>
      <c r="K52">
        <v>157801.98937299999</v>
      </c>
      <c r="L52" s="33">
        <f t="shared" si="2"/>
        <v>3.6638858923940629E-5</v>
      </c>
      <c r="M52" s="48">
        <v>314.6597592830658</v>
      </c>
      <c r="N52" s="30">
        <f t="shared" si="3"/>
        <v>1</v>
      </c>
      <c r="O52" s="28">
        <v>157796.20790000001</v>
      </c>
      <c r="P52" s="33">
        <f t="shared" si="4"/>
        <v>0</v>
      </c>
      <c r="Q52" s="43">
        <v>536</v>
      </c>
      <c r="R52" s="30">
        <f t="shared" si="5"/>
        <v>1</v>
      </c>
      <c r="S52" s="28">
        <v>157796.20790000001</v>
      </c>
      <c r="T52" s="33">
        <f t="shared" si="6"/>
        <v>0</v>
      </c>
      <c r="U52" s="44">
        <v>107.2</v>
      </c>
      <c r="V52" s="30">
        <f t="shared" si="9"/>
        <v>1</v>
      </c>
      <c r="W52" s="28">
        <v>157796.20794399999</v>
      </c>
      <c r="X52" s="33">
        <f t="shared" si="10"/>
        <v>2.7884057783965797E-10</v>
      </c>
      <c r="Y52" s="48">
        <v>351.7919065952301</v>
      </c>
    </row>
    <row r="53" spans="1:25" x14ac:dyDescent="0.35">
      <c r="A53" s="7" t="s">
        <v>72</v>
      </c>
      <c r="B53" t="s">
        <v>116</v>
      </c>
      <c r="C53">
        <v>300</v>
      </c>
      <c r="D53">
        <v>1500</v>
      </c>
      <c r="E53" s="26">
        <v>156968.46</v>
      </c>
      <c r="F53" s="30">
        <f t="shared" si="7"/>
        <v>1</v>
      </c>
      <c r="G53">
        <v>156968.462267</v>
      </c>
      <c r="H53" s="33">
        <f t="shared" si="1"/>
        <v>1.4442391824988339E-8</v>
      </c>
      <c r="I53" s="48">
        <v>496.4</v>
      </c>
      <c r="J53" s="30">
        <f t="shared" si="8"/>
        <v>1</v>
      </c>
      <c r="K53">
        <v>156968.462267</v>
      </c>
      <c r="L53" s="33">
        <f t="shared" si="2"/>
        <v>1.4442391824988339E-8</v>
      </c>
      <c r="M53" s="48">
        <v>242.84653210639951</v>
      </c>
      <c r="N53" s="30">
        <f t="shared" si="3"/>
        <v>1</v>
      </c>
      <c r="O53" s="28">
        <v>156968.46230000001</v>
      </c>
      <c r="P53" s="33">
        <f t="shared" si="4"/>
        <v>1.465262525944796E-8</v>
      </c>
      <c r="Q53" s="43">
        <v>633</v>
      </c>
      <c r="R53" s="30">
        <f t="shared" si="5"/>
        <v>1</v>
      </c>
      <c r="S53" s="28">
        <v>156968.46230000001</v>
      </c>
      <c r="T53" s="33">
        <f t="shared" si="6"/>
        <v>1.465262525944796E-8</v>
      </c>
      <c r="U53" s="44">
        <v>126.6</v>
      </c>
      <c r="V53" s="30">
        <f t="shared" si="9"/>
        <v>1</v>
      </c>
      <c r="W53" s="28">
        <v>156968.462267</v>
      </c>
      <c r="X53" s="33">
        <f t="shared" si="10"/>
        <v>1.4442391824988339E-8</v>
      </c>
      <c r="Y53" s="48">
        <v>530.54215955734253</v>
      </c>
    </row>
    <row r="54" spans="1:25" x14ac:dyDescent="0.35">
      <c r="A54" s="7" t="s">
        <v>73</v>
      </c>
      <c r="B54" t="s">
        <v>117</v>
      </c>
      <c r="C54">
        <v>500</v>
      </c>
      <c r="D54">
        <v>500</v>
      </c>
      <c r="E54" s="26">
        <v>26708.9954</v>
      </c>
      <c r="F54" s="30">
        <f t="shared" si="7"/>
        <v>0</v>
      </c>
      <c r="G54">
        <v>26866.826815</v>
      </c>
      <c r="H54" s="33">
        <f t="shared" si="1"/>
        <v>5.9092980711659623E-3</v>
      </c>
      <c r="I54" s="48">
        <v>3600.9</v>
      </c>
      <c r="J54" s="30">
        <f t="shared" si="8"/>
        <v>0</v>
      </c>
      <c r="K54">
        <v>26809.235575000061</v>
      </c>
      <c r="L54" s="33">
        <f t="shared" si="2"/>
        <v>3.7530492442280645E-3</v>
      </c>
      <c r="M54" s="48">
        <v>3599.7267286777501</v>
      </c>
      <c r="N54" s="30">
        <f t="shared" si="3"/>
        <v>1</v>
      </c>
      <c r="O54" s="28">
        <v>26708.9954</v>
      </c>
      <c r="P54" s="33">
        <f t="shared" si="4"/>
        <v>0</v>
      </c>
      <c r="Q54" s="43">
        <v>18712</v>
      </c>
      <c r="R54" s="30">
        <f t="shared" si="5"/>
        <v>0</v>
      </c>
      <c r="S54" s="28">
        <v>26761.812399999999</v>
      </c>
      <c r="T54" s="33">
        <f t="shared" si="6"/>
        <v>1.9774985621510534E-3</v>
      </c>
      <c r="U54" s="44">
        <v>3742.4</v>
      </c>
      <c r="V54" s="30">
        <f t="shared" si="9"/>
        <v>0</v>
      </c>
      <c r="W54" s="28">
        <v>26774.780058</v>
      </c>
      <c r="X54" s="33">
        <f t="shared" si="10"/>
        <v>2.4630150634568789E-3</v>
      </c>
      <c r="Y54" s="48">
        <v>3603.1295840740199</v>
      </c>
    </row>
    <row r="55" spans="1:25" x14ac:dyDescent="0.35">
      <c r="A55" s="7" t="s">
        <v>74</v>
      </c>
      <c r="B55" t="s">
        <v>117</v>
      </c>
      <c r="C55">
        <v>500</v>
      </c>
      <c r="D55">
        <v>500</v>
      </c>
      <c r="E55" s="26">
        <v>15886.54</v>
      </c>
      <c r="F55" s="30">
        <f t="shared" si="7"/>
        <v>1</v>
      </c>
      <c r="G55">
        <v>15886.542104</v>
      </c>
      <c r="H55" s="33">
        <f t="shared" si="1"/>
        <v>1.3243915913945919E-7</v>
      </c>
      <c r="I55" s="48">
        <v>3605.6</v>
      </c>
      <c r="J55" s="30">
        <f t="shared" si="8"/>
        <v>1</v>
      </c>
      <c r="K55">
        <v>15886.542104</v>
      </c>
      <c r="L55" s="33">
        <f t="shared" si="2"/>
        <v>1.3243915913945919E-7</v>
      </c>
      <c r="M55" s="48">
        <v>3603.058788299561</v>
      </c>
      <c r="N55" s="30">
        <f t="shared" si="3"/>
        <v>1</v>
      </c>
      <c r="O55" s="28">
        <v>15886.542100000001</v>
      </c>
      <c r="P55" s="33">
        <f t="shared" si="4"/>
        <v>1.3218737369497893E-7</v>
      </c>
      <c r="Q55" s="43">
        <v>29842</v>
      </c>
      <c r="R55" s="30">
        <f t="shared" si="5"/>
        <v>1</v>
      </c>
      <c r="S55" s="28">
        <v>15886.542100000001</v>
      </c>
      <c r="T55" s="33">
        <f t="shared" si="6"/>
        <v>1.3218737369497893E-7</v>
      </c>
      <c r="U55" s="44">
        <v>5968.4</v>
      </c>
      <c r="V55" s="30">
        <f t="shared" si="9"/>
        <v>1</v>
      </c>
      <c r="W55" s="28">
        <v>15886.542104</v>
      </c>
      <c r="X55" s="33">
        <f t="shared" si="10"/>
        <v>1.3243915913945919E-7</v>
      </c>
      <c r="Y55" s="48">
        <v>3440.7310543060298</v>
      </c>
    </row>
    <row r="56" spans="1:25" x14ac:dyDescent="0.35">
      <c r="A56" s="7" t="s">
        <v>75</v>
      </c>
      <c r="B56" t="s">
        <v>117</v>
      </c>
      <c r="C56">
        <v>500</v>
      </c>
      <c r="D56">
        <v>500</v>
      </c>
      <c r="E56" s="26">
        <v>13497.71</v>
      </c>
      <c r="F56" s="30">
        <f t="shared" si="7"/>
        <v>1</v>
      </c>
      <c r="G56">
        <v>13497.713008000001</v>
      </c>
      <c r="H56" s="33">
        <f t="shared" si="1"/>
        <v>2.2285261733290145E-7</v>
      </c>
      <c r="I56" s="48">
        <v>302.89999999999998</v>
      </c>
      <c r="J56" s="30">
        <f t="shared" si="8"/>
        <v>1</v>
      </c>
      <c r="K56">
        <v>13497.713008000001</v>
      </c>
      <c r="L56" s="33">
        <f t="shared" si="2"/>
        <v>2.2285261733290145E-7</v>
      </c>
      <c r="M56" s="48">
        <v>284.73459792137152</v>
      </c>
      <c r="N56" s="30">
        <f t="shared" si="3"/>
        <v>1</v>
      </c>
      <c r="O56" s="28">
        <v>13497.713</v>
      </c>
      <c r="P56" s="33">
        <f t="shared" si="4"/>
        <v>2.2225992413610758E-7</v>
      </c>
      <c r="Q56" s="43">
        <v>975</v>
      </c>
      <c r="R56" s="30">
        <f t="shared" si="5"/>
        <v>1</v>
      </c>
      <c r="S56" s="28">
        <v>13497.713</v>
      </c>
      <c r="T56" s="33">
        <f t="shared" si="6"/>
        <v>2.2225992413610758E-7</v>
      </c>
      <c r="U56" s="44">
        <v>195</v>
      </c>
      <c r="V56" s="30">
        <f t="shared" si="9"/>
        <v>1</v>
      </c>
      <c r="W56" s="28">
        <v>13497.713008000001</v>
      </c>
      <c r="X56" s="33">
        <f t="shared" si="10"/>
        <v>2.2285261733290145E-7</v>
      </c>
      <c r="Y56" s="48">
        <v>182.888952255249</v>
      </c>
    </row>
    <row r="57" spans="1:25" x14ac:dyDescent="0.35">
      <c r="A57" s="7" t="s">
        <v>76</v>
      </c>
      <c r="B57" t="s">
        <v>117</v>
      </c>
      <c r="C57">
        <v>500</v>
      </c>
      <c r="D57">
        <v>500</v>
      </c>
      <c r="E57" s="26">
        <v>14736.378699999999</v>
      </c>
      <c r="F57" s="30">
        <f t="shared" si="7"/>
        <v>1</v>
      </c>
      <c r="G57">
        <v>14736.378736999999</v>
      </c>
      <c r="H57" s="33">
        <f t="shared" si="1"/>
        <v>2.5107932244505324E-9</v>
      </c>
      <c r="I57" s="48">
        <v>804.2</v>
      </c>
      <c r="J57" s="30">
        <f t="shared" si="8"/>
        <v>1</v>
      </c>
      <c r="K57">
        <v>14736.378736999999</v>
      </c>
      <c r="L57" s="33">
        <f t="shared" si="2"/>
        <v>2.5107932244505324E-9</v>
      </c>
      <c r="M57" s="48">
        <v>1154.071674108505</v>
      </c>
      <c r="N57" s="30">
        <f t="shared" si="3"/>
        <v>1</v>
      </c>
      <c r="O57" s="28">
        <v>14736.378699999999</v>
      </c>
      <c r="P57" s="33">
        <f t="shared" si="4"/>
        <v>0</v>
      </c>
      <c r="Q57" s="43">
        <v>8573</v>
      </c>
      <c r="R57" s="30">
        <f t="shared" si="5"/>
        <v>1</v>
      </c>
      <c r="S57" s="28">
        <v>14736.378699999999</v>
      </c>
      <c r="T57" s="33">
        <f t="shared" si="6"/>
        <v>0</v>
      </c>
      <c r="U57" s="44">
        <v>1714.6</v>
      </c>
      <c r="V57" s="30">
        <f t="shared" si="9"/>
        <v>0</v>
      </c>
      <c r="W57" s="28">
        <v>14768.389306999999</v>
      </c>
      <c r="X57" s="33">
        <f t="shared" si="10"/>
        <v>2.1722166382708505E-3</v>
      </c>
      <c r="Y57" s="48">
        <v>1903.339725494385</v>
      </c>
    </row>
    <row r="58" spans="1:25" x14ac:dyDescent="0.35">
      <c r="A58" s="7" t="s">
        <v>77</v>
      </c>
      <c r="B58" t="s">
        <v>117</v>
      </c>
      <c r="C58">
        <v>500</v>
      </c>
      <c r="D58">
        <v>500</v>
      </c>
      <c r="E58" s="26">
        <v>13715.956200000001</v>
      </c>
      <c r="F58" s="30">
        <f t="shared" si="7"/>
        <v>1</v>
      </c>
      <c r="G58">
        <v>13715.956228999999</v>
      </c>
      <c r="H58" s="33">
        <f t="shared" si="1"/>
        <v>2.1143257153008771E-9</v>
      </c>
      <c r="I58" s="48">
        <v>1223.3</v>
      </c>
      <c r="J58" s="30">
        <f t="shared" si="8"/>
        <v>1</v>
      </c>
      <c r="K58">
        <v>13715.956228999999</v>
      </c>
      <c r="L58" s="33">
        <f t="shared" si="2"/>
        <v>2.1143257153008771E-9</v>
      </c>
      <c r="M58" s="48">
        <v>1151.143309116364</v>
      </c>
      <c r="N58" s="30">
        <f t="shared" si="3"/>
        <v>1</v>
      </c>
      <c r="O58" s="28">
        <v>13715.956200000001</v>
      </c>
      <c r="P58" s="33">
        <f t="shared" si="4"/>
        <v>0</v>
      </c>
      <c r="Q58" s="43">
        <v>7610</v>
      </c>
      <c r="R58" s="30">
        <f t="shared" si="5"/>
        <v>1</v>
      </c>
      <c r="S58" s="28">
        <v>13717.127039999999</v>
      </c>
      <c r="T58" s="33">
        <f t="shared" si="6"/>
        <v>8.5363352210096838E-5</v>
      </c>
      <c r="U58" s="44">
        <v>1522</v>
      </c>
      <c r="V58" s="30">
        <f t="shared" si="9"/>
        <v>1</v>
      </c>
      <c r="W58" s="28">
        <v>13715.956228999999</v>
      </c>
      <c r="X58" s="33">
        <f t="shared" si="10"/>
        <v>2.1143257153008771E-9</v>
      </c>
      <c r="Y58" s="48">
        <v>3603.2515602111821</v>
      </c>
    </row>
    <row r="59" spans="1:25" x14ac:dyDescent="0.35">
      <c r="A59" s="7" t="s">
        <v>78</v>
      </c>
      <c r="B59" t="s">
        <v>117</v>
      </c>
      <c r="C59">
        <v>500</v>
      </c>
      <c r="D59">
        <v>500</v>
      </c>
      <c r="E59" s="26">
        <v>13629.5355</v>
      </c>
      <c r="F59" s="30">
        <f t="shared" si="7"/>
        <v>1</v>
      </c>
      <c r="G59">
        <v>13629.535544</v>
      </c>
      <c r="H59" s="33">
        <f t="shared" si="1"/>
        <v>3.2282831901100393E-9</v>
      </c>
      <c r="I59" s="48">
        <v>335</v>
      </c>
      <c r="J59" s="30">
        <f t="shared" si="8"/>
        <v>1</v>
      </c>
      <c r="K59">
        <v>13629.535544</v>
      </c>
      <c r="L59" s="33">
        <f t="shared" si="2"/>
        <v>3.2282831901100393E-9</v>
      </c>
      <c r="M59" s="48">
        <v>417.22017097473139</v>
      </c>
      <c r="N59" s="30">
        <f t="shared" si="3"/>
        <v>1</v>
      </c>
      <c r="O59" s="28">
        <v>13629.5355</v>
      </c>
      <c r="P59" s="33">
        <f t="shared" si="4"/>
        <v>0</v>
      </c>
      <c r="Q59" s="43">
        <v>3778</v>
      </c>
      <c r="R59" s="30">
        <f t="shared" si="5"/>
        <v>1</v>
      </c>
      <c r="S59" s="28">
        <v>13629.5355</v>
      </c>
      <c r="T59" s="33">
        <f t="shared" si="6"/>
        <v>0</v>
      </c>
      <c r="U59" s="44">
        <v>755.6</v>
      </c>
      <c r="V59" s="30">
        <f t="shared" si="9"/>
        <v>0</v>
      </c>
      <c r="W59" s="28">
        <v>13632.683027999999</v>
      </c>
      <c r="X59" s="33">
        <f t="shared" si="10"/>
        <v>2.3093435575992379E-4</v>
      </c>
      <c r="Y59" s="48">
        <v>665.87159013748169</v>
      </c>
    </row>
    <row r="60" spans="1:25" x14ac:dyDescent="0.35">
      <c r="A60" s="7" t="s">
        <v>79</v>
      </c>
      <c r="B60" t="s">
        <v>117</v>
      </c>
      <c r="C60">
        <v>500</v>
      </c>
      <c r="D60">
        <v>500</v>
      </c>
      <c r="E60" s="26">
        <v>13947.12</v>
      </c>
      <c r="F60" s="30">
        <f t="shared" si="7"/>
        <v>1</v>
      </c>
      <c r="G60">
        <v>13947.124243</v>
      </c>
      <c r="H60" s="33">
        <f t="shared" si="1"/>
        <v>3.042205128661389E-7</v>
      </c>
      <c r="I60" s="48">
        <v>1225.3</v>
      </c>
      <c r="J60" s="30">
        <f t="shared" si="8"/>
        <v>1</v>
      </c>
      <c r="K60">
        <v>13947.124243</v>
      </c>
      <c r="L60" s="33">
        <f t="shared" si="2"/>
        <v>3.042205128661389E-7</v>
      </c>
      <c r="M60" s="48">
        <v>3603.106794834137</v>
      </c>
      <c r="N60" s="30">
        <f t="shared" si="3"/>
        <v>1</v>
      </c>
      <c r="O60" s="28">
        <v>13947.1242</v>
      </c>
      <c r="P60" s="33">
        <f t="shared" si="4"/>
        <v>3.0113743908423106E-7</v>
      </c>
      <c r="Q60" s="43">
        <v>22142</v>
      </c>
      <c r="R60" s="30">
        <f t="shared" si="5"/>
        <v>1</v>
      </c>
      <c r="S60" s="28">
        <v>13947.1242</v>
      </c>
      <c r="T60" s="33">
        <f t="shared" si="6"/>
        <v>3.0113743908423106E-7</v>
      </c>
      <c r="U60" s="44">
        <v>4428.3999999999996</v>
      </c>
      <c r="V60" s="30">
        <f t="shared" si="9"/>
        <v>1</v>
      </c>
      <c r="W60" s="28">
        <v>13947.124243</v>
      </c>
      <c r="X60" s="33">
        <f t="shared" si="10"/>
        <v>3.042205128661389E-7</v>
      </c>
      <c r="Y60" s="48">
        <v>3599.3811736106868</v>
      </c>
    </row>
    <row r="61" spans="1:25" x14ac:dyDescent="0.35">
      <c r="A61" s="7" t="s">
        <v>80</v>
      </c>
      <c r="B61" t="s">
        <v>117</v>
      </c>
      <c r="C61">
        <v>500</v>
      </c>
      <c r="D61">
        <v>500</v>
      </c>
      <c r="E61" s="26">
        <v>12618.676799999999</v>
      </c>
      <c r="F61" s="30">
        <f t="shared" si="7"/>
        <v>1</v>
      </c>
      <c r="G61">
        <v>12618.676828</v>
      </c>
      <c r="H61" s="33">
        <f t="shared" si="1"/>
        <v>2.2189331597790149E-9</v>
      </c>
      <c r="I61" s="48">
        <v>235.1</v>
      </c>
      <c r="J61" s="30">
        <f t="shared" si="8"/>
        <v>1</v>
      </c>
      <c r="K61">
        <v>12618.676827999991</v>
      </c>
      <c r="L61" s="33">
        <f t="shared" si="2"/>
        <v>2.2189324390261847E-9</v>
      </c>
      <c r="M61" s="48">
        <v>306.03136157989502</v>
      </c>
      <c r="N61" s="30">
        <f t="shared" si="3"/>
        <v>1</v>
      </c>
      <c r="O61" s="28">
        <v>12618.676799999999</v>
      </c>
      <c r="P61" s="33">
        <f t="shared" si="4"/>
        <v>0</v>
      </c>
      <c r="Q61" s="43">
        <v>1139</v>
      </c>
      <c r="R61" s="30">
        <f t="shared" si="5"/>
        <v>1</v>
      </c>
      <c r="S61" s="28">
        <v>12618.676799999999</v>
      </c>
      <c r="T61" s="33">
        <f t="shared" si="6"/>
        <v>0</v>
      </c>
      <c r="U61" s="44">
        <v>227.8</v>
      </c>
      <c r="V61" s="30">
        <f t="shared" si="9"/>
        <v>1</v>
      </c>
      <c r="W61" s="28">
        <v>12618.676828</v>
      </c>
      <c r="X61" s="33">
        <f t="shared" si="10"/>
        <v>2.2189331597790149E-9</v>
      </c>
      <c r="Y61" s="48">
        <v>154.44844698905939</v>
      </c>
    </row>
    <row r="62" spans="1:25" x14ac:dyDescent="0.35">
      <c r="A62" s="7" t="s">
        <v>81</v>
      </c>
      <c r="B62" t="s">
        <v>117</v>
      </c>
      <c r="C62">
        <v>500</v>
      </c>
      <c r="D62">
        <v>500</v>
      </c>
      <c r="E62" s="26">
        <v>13386.16855</v>
      </c>
      <c r="F62" s="30">
        <f t="shared" si="7"/>
        <v>1</v>
      </c>
      <c r="G62">
        <v>13386.168554</v>
      </c>
      <c r="H62" s="33">
        <f t="shared" si="1"/>
        <v>2.9881586506346656E-10</v>
      </c>
      <c r="I62" s="48">
        <v>281.2</v>
      </c>
      <c r="J62" s="30">
        <f t="shared" si="8"/>
        <v>0</v>
      </c>
      <c r="K62">
        <v>13389.693721</v>
      </c>
      <c r="L62" s="33">
        <f t="shared" si="2"/>
        <v>2.6334428606901997E-4</v>
      </c>
      <c r="M62" s="48">
        <v>198.4371945858002</v>
      </c>
      <c r="N62" s="30">
        <f t="shared" si="3"/>
        <v>0</v>
      </c>
      <c r="O62" s="28">
        <v>13389.6937</v>
      </c>
      <c r="P62" s="33">
        <f t="shared" si="4"/>
        <v>2.6334271728555849E-4</v>
      </c>
      <c r="Q62" s="43">
        <v>1619</v>
      </c>
      <c r="R62" s="30">
        <f t="shared" si="5"/>
        <v>0</v>
      </c>
      <c r="S62" s="28">
        <v>13389.6937</v>
      </c>
      <c r="T62" s="33">
        <f t="shared" si="6"/>
        <v>2.6334271728555849E-4</v>
      </c>
      <c r="U62" s="44">
        <v>323.8</v>
      </c>
      <c r="V62" s="30">
        <f t="shared" si="9"/>
        <v>1</v>
      </c>
      <c r="W62" s="28">
        <v>13386.168554</v>
      </c>
      <c r="X62" s="33">
        <f t="shared" si="10"/>
        <v>2.9881586506346656E-10</v>
      </c>
      <c r="Y62" s="48">
        <v>232.41712212562561</v>
      </c>
    </row>
    <row r="63" spans="1:25" x14ac:dyDescent="0.35">
      <c r="A63" s="7" t="s">
        <v>82</v>
      </c>
      <c r="B63" t="s">
        <v>117</v>
      </c>
      <c r="C63">
        <v>500</v>
      </c>
      <c r="D63">
        <v>500</v>
      </c>
      <c r="E63" s="26">
        <v>12852.52</v>
      </c>
      <c r="F63" s="30">
        <f t="shared" si="7"/>
        <v>1</v>
      </c>
      <c r="G63">
        <v>12852.521833000001</v>
      </c>
      <c r="H63" s="33">
        <f t="shared" si="1"/>
        <v>1.4261794576166026E-7</v>
      </c>
      <c r="I63" s="48">
        <v>140.4</v>
      </c>
      <c r="J63" s="30">
        <f t="shared" si="8"/>
        <v>1</v>
      </c>
      <c r="K63">
        <v>12852.521833000001</v>
      </c>
      <c r="L63" s="33">
        <f t="shared" si="2"/>
        <v>1.4261794576166026E-7</v>
      </c>
      <c r="M63" s="48">
        <v>222.46401643753049</v>
      </c>
      <c r="N63" s="30">
        <f t="shared" si="3"/>
        <v>1</v>
      </c>
      <c r="O63" s="28">
        <v>12852.5218</v>
      </c>
      <c r="P63" s="33">
        <f t="shared" si="4"/>
        <v>1.400503558837419E-7</v>
      </c>
      <c r="Q63" s="43">
        <v>9550</v>
      </c>
      <c r="R63" s="30">
        <f t="shared" si="5"/>
        <v>1</v>
      </c>
      <c r="S63" s="28">
        <v>12852.5218</v>
      </c>
      <c r="T63" s="33">
        <f t="shared" si="6"/>
        <v>1.400503558837419E-7</v>
      </c>
      <c r="U63" s="44">
        <v>1910</v>
      </c>
      <c r="V63" s="30">
        <f t="shared" si="9"/>
        <v>1</v>
      </c>
      <c r="W63" s="28">
        <v>12852.521833000001</v>
      </c>
      <c r="X63" s="33">
        <f t="shared" si="10"/>
        <v>1.4261794576166026E-7</v>
      </c>
      <c r="Y63" s="48">
        <v>159.4528374671936</v>
      </c>
    </row>
    <row r="64" spans="1:25" x14ac:dyDescent="0.35">
      <c r="A64" s="7" t="s">
        <v>83</v>
      </c>
      <c r="B64" t="s">
        <v>117</v>
      </c>
      <c r="C64">
        <v>500</v>
      </c>
      <c r="D64">
        <v>500</v>
      </c>
      <c r="E64" s="26">
        <v>13521.517099999999</v>
      </c>
      <c r="F64" s="30">
        <f t="shared" si="7"/>
        <v>1</v>
      </c>
      <c r="G64">
        <v>13521.517102</v>
      </c>
      <c r="H64" s="33">
        <f t="shared" si="1"/>
        <v>1.4791244667889462E-10</v>
      </c>
      <c r="I64" s="48">
        <v>260.5</v>
      </c>
      <c r="J64" s="30">
        <f t="shared" si="8"/>
        <v>1</v>
      </c>
      <c r="K64">
        <v>13521.876951</v>
      </c>
      <c r="L64" s="33">
        <f t="shared" si="2"/>
        <v>2.661321191547892E-5</v>
      </c>
      <c r="M64" s="48">
        <v>294.77112507820129</v>
      </c>
      <c r="N64" s="30">
        <f t="shared" si="3"/>
        <v>1</v>
      </c>
      <c r="O64" s="28">
        <v>13521.517099999999</v>
      </c>
      <c r="P64" s="33">
        <f t="shared" si="4"/>
        <v>0</v>
      </c>
      <c r="Q64" s="43">
        <v>1462</v>
      </c>
      <c r="R64" s="30">
        <f t="shared" si="5"/>
        <v>1</v>
      </c>
      <c r="S64" s="28">
        <v>13521.517099999999</v>
      </c>
      <c r="T64" s="33">
        <f t="shared" si="6"/>
        <v>0</v>
      </c>
      <c r="U64" s="44">
        <v>292.39999999999998</v>
      </c>
      <c r="V64" s="30">
        <f t="shared" si="9"/>
        <v>1</v>
      </c>
      <c r="W64" s="28">
        <v>13521.517102</v>
      </c>
      <c r="X64" s="33">
        <f t="shared" si="10"/>
        <v>1.4791244667889462E-10</v>
      </c>
      <c r="Y64" s="48">
        <v>256.70049619674683</v>
      </c>
    </row>
    <row r="65" spans="1:25" x14ac:dyDescent="0.35">
      <c r="A65" s="7" t="s">
        <v>84</v>
      </c>
      <c r="B65" t="s">
        <v>117</v>
      </c>
      <c r="C65">
        <v>500</v>
      </c>
      <c r="D65">
        <v>500</v>
      </c>
      <c r="E65" s="26">
        <v>28508.015463</v>
      </c>
      <c r="F65" s="30">
        <f t="shared" si="7"/>
        <v>0</v>
      </c>
      <c r="G65">
        <v>28556.643706999999</v>
      </c>
      <c r="H65" s="33">
        <f t="shared" si="1"/>
        <v>1.7057744360744155E-3</v>
      </c>
      <c r="I65" s="48">
        <v>3600.6</v>
      </c>
      <c r="J65" s="30">
        <f t="shared" si="8"/>
        <v>1</v>
      </c>
      <c r="K65">
        <v>28508.015463</v>
      </c>
      <c r="L65" s="33">
        <f t="shared" si="2"/>
        <v>0</v>
      </c>
      <c r="M65" s="48">
        <v>3599.994986057281</v>
      </c>
      <c r="N65" s="30">
        <f t="shared" si="3"/>
        <v>0</v>
      </c>
      <c r="O65" s="28">
        <v>28702.1708</v>
      </c>
      <c r="P65" s="33">
        <f t="shared" si="4"/>
        <v>6.8105525357242281E-3</v>
      </c>
      <c r="Q65" s="43">
        <v>30560</v>
      </c>
      <c r="R65" s="30">
        <f t="shared" si="5"/>
        <v>0</v>
      </c>
      <c r="S65" s="28">
        <v>28781.574079999999</v>
      </c>
      <c r="T65" s="33">
        <f t="shared" si="6"/>
        <v>9.5958491868732565E-3</v>
      </c>
      <c r="U65" s="44">
        <v>6112</v>
      </c>
      <c r="V65" s="30">
        <f t="shared" si="9"/>
        <v>0</v>
      </c>
      <c r="W65" s="28">
        <v>28575.018008999999</v>
      </c>
      <c r="X65" s="33">
        <f t="shared" si="10"/>
        <v>2.3503055162489659E-3</v>
      </c>
      <c r="Y65" s="48">
        <v>3600.8660109043121</v>
      </c>
    </row>
    <row r="66" spans="1:25" x14ac:dyDescent="0.35">
      <c r="A66" s="7" t="s">
        <v>85</v>
      </c>
      <c r="B66" t="s">
        <v>117</v>
      </c>
      <c r="C66">
        <v>500</v>
      </c>
      <c r="D66">
        <v>500</v>
      </c>
      <c r="E66" s="26">
        <v>12362.195400000001</v>
      </c>
      <c r="F66" s="30">
        <f t="shared" si="7"/>
        <v>1</v>
      </c>
      <c r="G66">
        <v>12362.256457</v>
      </c>
      <c r="H66" s="33">
        <f t="shared" si="1"/>
        <v>4.9390094577361288E-6</v>
      </c>
      <c r="I66" s="48">
        <v>374.2</v>
      </c>
      <c r="J66" s="30">
        <f t="shared" si="8"/>
        <v>1</v>
      </c>
      <c r="K66">
        <v>12362.195433999999</v>
      </c>
      <c r="L66" s="33">
        <f t="shared" si="2"/>
        <v>2.7503204469078262E-9</v>
      </c>
      <c r="M66" s="48">
        <v>178.25457119941709</v>
      </c>
      <c r="N66" s="30">
        <f t="shared" si="3"/>
        <v>1</v>
      </c>
      <c r="O66" s="28">
        <v>12362.195400000001</v>
      </c>
      <c r="P66" s="33">
        <f t="shared" si="4"/>
        <v>0</v>
      </c>
      <c r="Q66" s="43">
        <v>941</v>
      </c>
      <c r="R66" s="30">
        <f t="shared" si="5"/>
        <v>1</v>
      </c>
      <c r="S66" s="28">
        <v>12362.195400000001</v>
      </c>
      <c r="T66" s="33">
        <f t="shared" si="6"/>
        <v>0</v>
      </c>
      <c r="U66" s="44">
        <v>188.2</v>
      </c>
      <c r="V66" s="30">
        <f t="shared" si="9"/>
        <v>1</v>
      </c>
      <c r="W66" s="28">
        <v>12362.195433999999</v>
      </c>
      <c r="X66" s="33">
        <f t="shared" ref="X66:X97" si="11">(W66-$E66)/$E66</f>
        <v>2.7503204469078262E-9</v>
      </c>
      <c r="Y66" s="48">
        <v>135.57410001754761</v>
      </c>
    </row>
    <row r="67" spans="1:25" x14ac:dyDescent="0.35">
      <c r="A67" s="7" t="s">
        <v>86</v>
      </c>
      <c r="B67" t="s">
        <v>117</v>
      </c>
      <c r="C67">
        <v>500</v>
      </c>
      <c r="D67">
        <v>500</v>
      </c>
      <c r="E67" s="26">
        <v>28260.440500000001</v>
      </c>
      <c r="F67" s="30">
        <f t="shared" si="7"/>
        <v>0</v>
      </c>
      <c r="G67">
        <v>28298.207751000002</v>
      </c>
      <c r="H67" s="33">
        <f t="shared" ref="H67:H113" si="12">(G67-$E67)/$E67</f>
        <v>1.3363999404043658E-3</v>
      </c>
      <c r="I67" s="48">
        <v>3600.8</v>
      </c>
      <c r="J67" s="30">
        <f t="shared" si="8"/>
        <v>0</v>
      </c>
      <c r="K67">
        <v>28292.131003999999</v>
      </c>
      <c r="L67" s="33">
        <f t="shared" ref="L67:L113" si="13">(K67-$E67)/$E67</f>
        <v>1.1213733204193446E-3</v>
      </c>
      <c r="M67" s="48">
        <v>3599.884584903717</v>
      </c>
      <c r="N67" s="30">
        <f t="shared" ref="N67:N113" si="14">IF(P67&lt;=0.0001,1,0)</f>
        <v>1</v>
      </c>
      <c r="O67" s="28">
        <v>28260.440500000001</v>
      </c>
      <c r="P67" s="33">
        <f t="shared" ref="P67:P113" si="15">(O67-$E67)/$E67</f>
        <v>0</v>
      </c>
      <c r="Q67" s="43">
        <v>19202</v>
      </c>
      <c r="R67" s="30">
        <f t="shared" ref="R67:R113" si="16">IF(T67&lt;=0.0001,1,0)</f>
        <v>0</v>
      </c>
      <c r="S67" s="28">
        <v>28282.525280000002</v>
      </c>
      <c r="T67" s="33">
        <f t="shared" ref="T67:T113" si="17">(S67-$E67)/$E67</f>
        <v>7.8147331072213983E-4</v>
      </c>
      <c r="U67" s="44">
        <v>3840.4</v>
      </c>
      <c r="V67" s="30">
        <f t="shared" si="9"/>
        <v>0</v>
      </c>
      <c r="W67" s="28">
        <v>28299.34996499999</v>
      </c>
      <c r="X67" s="33">
        <f t="shared" si="11"/>
        <v>1.3768173571105419E-3</v>
      </c>
      <c r="Y67" s="48">
        <v>3600.395480871201</v>
      </c>
    </row>
    <row r="68" spans="1:25" x14ac:dyDescent="0.35">
      <c r="A68" s="7" t="s">
        <v>87</v>
      </c>
      <c r="B68" t="s">
        <v>117</v>
      </c>
      <c r="C68">
        <v>500</v>
      </c>
      <c r="D68">
        <v>500</v>
      </c>
      <c r="E68" s="26">
        <v>28544.593184000041</v>
      </c>
      <c r="F68" s="30">
        <f t="shared" ref="F68:F112" si="18">IF(H68&lt;=0.0001,1,0)</f>
        <v>0</v>
      </c>
      <c r="G68">
        <v>28593.759817999999</v>
      </c>
      <c r="H68" s="33">
        <f t="shared" si="12"/>
        <v>1.7224499814387454E-3</v>
      </c>
      <c r="I68" s="48">
        <v>3603.1</v>
      </c>
      <c r="J68" s="30">
        <f t="shared" ref="J68:J112" si="19">IF(L68&lt;=0.0001,1,0)</f>
        <v>1</v>
      </c>
      <c r="K68">
        <v>28544.593184000041</v>
      </c>
      <c r="L68" s="33">
        <f t="shared" si="13"/>
        <v>0</v>
      </c>
      <c r="M68" s="48">
        <v>3600.244023084641</v>
      </c>
      <c r="N68" s="30">
        <f t="shared" si="14"/>
        <v>0</v>
      </c>
      <c r="O68" s="28">
        <v>28553.459500000001</v>
      </c>
      <c r="P68" s="33">
        <f t="shared" si="15"/>
        <v>3.1061279951712247E-4</v>
      </c>
      <c r="Q68" s="43">
        <v>36245</v>
      </c>
      <c r="R68" s="30">
        <f t="shared" si="16"/>
        <v>0</v>
      </c>
      <c r="S68" s="28">
        <v>28594.602419999999</v>
      </c>
      <c r="T68" s="33">
        <f t="shared" si="17"/>
        <v>1.7519687766294552E-3</v>
      </c>
      <c r="U68" s="44">
        <v>7249</v>
      </c>
      <c r="V68" s="30">
        <f t="shared" ref="V68:V112" si="20">IF(X68&lt;=0.0001,1,0)</f>
        <v>0</v>
      </c>
      <c r="W68" s="28">
        <v>28556.532504999999</v>
      </c>
      <c r="X68" s="33">
        <f t="shared" si="11"/>
        <v>4.1826908945580233E-4</v>
      </c>
      <c r="Y68" s="48">
        <v>3600.1008620262151</v>
      </c>
    </row>
    <row r="69" spans="1:25" x14ac:dyDescent="0.35">
      <c r="A69" s="7" t="s">
        <v>88</v>
      </c>
      <c r="B69" t="s">
        <v>117</v>
      </c>
      <c r="C69">
        <v>500</v>
      </c>
      <c r="D69">
        <v>500</v>
      </c>
      <c r="E69" s="26">
        <v>24969.4</v>
      </c>
      <c r="F69" s="30">
        <f t="shared" si="18"/>
        <v>0</v>
      </c>
      <c r="G69">
        <v>24985.41677800001</v>
      </c>
      <c r="H69" s="33">
        <f t="shared" si="12"/>
        <v>6.4145626246559157E-4</v>
      </c>
      <c r="I69" s="48">
        <v>3608.3</v>
      </c>
      <c r="J69" s="30">
        <f t="shared" si="19"/>
        <v>0</v>
      </c>
      <c r="K69">
        <v>24995.458601000129</v>
      </c>
      <c r="L69" s="33">
        <f t="shared" si="13"/>
        <v>1.0436214326386682E-3</v>
      </c>
      <c r="M69" s="48">
        <v>3600.131786346436</v>
      </c>
      <c r="N69" s="30">
        <f t="shared" si="14"/>
        <v>0</v>
      </c>
      <c r="O69" s="28">
        <v>25003.096099999999</v>
      </c>
      <c r="P69" s="33">
        <f t="shared" si="15"/>
        <v>1.3494957828380893E-3</v>
      </c>
      <c r="Q69" s="43">
        <v>46898</v>
      </c>
      <c r="R69" s="30">
        <f t="shared" si="16"/>
        <v>0</v>
      </c>
      <c r="S69" s="28">
        <v>25139.63276</v>
      </c>
      <c r="T69" s="33">
        <f t="shared" si="17"/>
        <v>6.8176552099769696E-3</v>
      </c>
      <c r="U69" s="44">
        <v>9379.6</v>
      </c>
      <c r="V69" s="30">
        <f t="shared" si="20"/>
        <v>0</v>
      </c>
      <c r="W69" s="28">
        <v>25028.930101000009</v>
      </c>
      <c r="X69" s="33">
        <f t="shared" si="11"/>
        <v>2.3841222055799322E-3</v>
      </c>
      <c r="Y69" s="48">
        <v>3605.066165208817</v>
      </c>
    </row>
    <row r="70" spans="1:25" x14ac:dyDescent="0.35">
      <c r="A70" s="7" t="s">
        <v>89</v>
      </c>
      <c r="B70" t="s">
        <v>117</v>
      </c>
      <c r="C70">
        <v>500</v>
      </c>
      <c r="D70">
        <v>500</v>
      </c>
      <c r="E70" s="26">
        <v>15853.354047000001</v>
      </c>
      <c r="F70" s="30">
        <f t="shared" si="18"/>
        <v>1</v>
      </c>
      <c r="G70">
        <v>15853.354047000041</v>
      </c>
      <c r="H70" s="33">
        <f t="shared" si="12"/>
        <v>2.524246084416539E-15</v>
      </c>
      <c r="I70" s="48">
        <v>3604.8</v>
      </c>
      <c r="J70" s="30">
        <f t="shared" si="19"/>
        <v>1</v>
      </c>
      <c r="K70">
        <v>15853.354047000001</v>
      </c>
      <c r="L70" s="33">
        <f t="shared" si="13"/>
        <v>0</v>
      </c>
      <c r="M70" s="48">
        <v>3600.5910785198212</v>
      </c>
      <c r="N70" s="30">
        <f t="shared" si="14"/>
        <v>0</v>
      </c>
      <c r="O70" s="28">
        <v>15876.091</v>
      </c>
      <c r="P70" s="33">
        <f t="shared" si="15"/>
        <v>1.4342045810994957E-3</v>
      </c>
      <c r="Q70" s="43">
        <v>34016</v>
      </c>
      <c r="R70" s="30">
        <f t="shared" si="16"/>
        <v>0</v>
      </c>
      <c r="S70" s="28">
        <v>15890.6445</v>
      </c>
      <c r="T70" s="33">
        <f t="shared" si="17"/>
        <v>2.3522122125983966E-3</v>
      </c>
      <c r="U70" s="44">
        <v>6803.2</v>
      </c>
      <c r="V70" s="30">
        <f t="shared" si="20"/>
        <v>1</v>
      </c>
      <c r="W70" s="28">
        <v>15853.354047000001</v>
      </c>
      <c r="X70" s="33">
        <f t="shared" si="11"/>
        <v>0</v>
      </c>
      <c r="Y70" s="48">
        <v>3604.9916965961461</v>
      </c>
    </row>
    <row r="71" spans="1:25" x14ac:dyDescent="0.35">
      <c r="A71" s="7" t="s">
        <v>90</v>
      </c>
      <c r="B71" t="s">
        <v>117</v>
      </c>
      <c r="C71">
        <v>500</v>
      </c>
      <c r="D71">
        <v>500</v>
      </c>
      <c r="E71" s="26">
        <v>16205.145699999999</v>
      </c>
      <c r="F71" s="30">
        <f t="shared" si="18"/>
        <v>1</v>
      </c>
      <c r="G71">
        <v>16205.145700999999</v>
      </c>
      <c r="H71" s="33">
        <f t="shared" si="12"/>
        <v>6.1708815030015806E-11</v>
      </c>
      <c r="I71" s="48">
        <v>3607.5</v>
      </c>
      <c r="J71" s="30">
        <f t="shared" si="19"/>
        <v>1</v>
      </c>
      <c r="K71">
        <v>16205.145700999999</v>
      </c>
      <c r="L71" s="33">
        <f t="shared" si="13"/>
        <v>6.1708815030015806E-11</v>
      </c>
      <c r="M71" s="48">
        <v>3599.635085344315</v>
      </c>
      <c r="N71" s="30">
        <f t="shared" si="14"/>
        <v>1</v>
      </c>
      <c r="O71" s="28">
        <v>16205.145699999999</v>
      </c>
      <c r="P71" s="33">
        <f t="shared" si="15"/>
        <v>0</v>
      </c>
      <c r="Q71" s="43">
        <v>11156</v>
      </c>
      <c r="R71" s="30">
        <f t="shared" si="16"/>
        <v>1</v>
      </c>
      <c r="S71" s="28">
        <v>16205.145699999999</v>
      </c>
      <c r="T71" s="33">
        <f t="shared" si="17"/>
        <v>0</v>
      </c>
      <c r="U71" s="44">
        <v>2231.1999999999998</v>
      </c>
      <c r="V71" s="30">
        <f t="shared" si="20"/>
        <v>1</v>
      </c>
      <c r="W71" s="28">
        <v>16205.145700999999</v>
      </c>
      <c r="X71" s="33">
        <f t="shared" si="11"/>
        <v>6.1708815030015806E-11</v>
      </c>
      <c r="Y71" s="48">
        <v>3605.3065536022191</v>
      </c>
    </row>
    <row r="72" spans="1:25" x14ac:dyDescent="0.35">
      <c r="A72" s="7" t="s">
        <v>91</v>
      </c>
      <c r="B72" t="s">
        <v>117</v>
      </c>
      <c r="C72">
        <v>500</v>
      </c>
      <c r="D72">
        <v>500</v>
      </c>
      <c r="E72" s="26">
        <v>16115.433826</v>
      </c>
      <c r="F72" s="30">
        <f t="shared" si="18"/>
        <v>1</v>
      </c>
      <c r="G72">
        <v>16115.851444</v>
      </c>
      <c r="H72" s="33">
        <f t="shared" si="12"/>
        <v>2.5914164304142072E-5</v>
      </c>
      <c r="I72" s="48">
        <v>3608.7</v>
      </c>
      <c r="J72" s="30">
        <f t="shared" si="19"/>
        <v>1</v>
      </c>
      <c r="K72">
        <v>16115.433826</v>
      </c>
      <c r="L72" s="33">
        <f t="shared" si="13"/>
        <v>0</v>
      </c>
      <c r="M72" s="48">
        <v>3603.1336898803711</v>
      </c>
      <c r="N72" s="30">
        <f t="shared" si="14"/>
        <v>1</v>
      </c>
      <c r="O72" s="28">
        <v>16115.8514</v>
      </c>
      <c r="P72" s="33">
        <f t="shared" si="15"/>
        <v>2.5911434002195581E-5</v>
      </c>
      <c r="Q72" s="43">
        <v>10884</v>
      </c>
      <c r="R72" s="30">
        <f t="shared" si="16"/>
        <v>0</v>
      </c>
      <c r="S72" s="28">
        <v>16117.9673</v>
      </c>
      <c r="T72" s="33">
        <f t="shared" si="17"/>
        <v>1.5720793044444361E-4</v>
      </c>
      <c r="U72" s="44">
        <v>2176.8000000000002</v>
      </c>
      <c r="V72" s="30">
        <f t="shared" si="20"/>
        <v>1</v>
      </c>
      <c r="W72" s="28">
        <v>16115.433826</v>
      </c>
      <c r="X72" s="33">
        <f t="shared" si="11"/>
        <v>0</v>
      </c>
      <c r="Y72" s="48">
        <v>3089.9899079799652</v>
      </c>
    </row>
    <row r="73" spans="1:25" x14ac:dyDescent="0.35">
      <c r="A73" s="7" t="s">
        <v>92</v>
      </c>
      <c r="B73" t="s">
        <v>117</v>
      </c>
      <c r="C73">
        <v>500</v>
      </c>
      <c r="D73">
        <v>500</v>
      </c>
      <c r="E73" s="26">
        <v>16399.402181000001</v>
      </c>
      <c r="F73" s="30">
        <f t="shared" si="18"/>
        <v>1</v>
      </c>
      <c r="G73">
        <v>16399.402181000019</v>
      </c>
      <c r="H73" s="33">
        <f t="shared" si="12"/>
        <v>1.1091803124709624E-15</v>
      </c>
      <c r="I73" s="48">
        <v>3608.3</v>
      </c>
      <c r="J73" s="30">
        <f t="shared" si="19"/>
        <v>1</v>
      </c>
      <c r="K73">
        <v>16399.402181000001</v>
      </c>
      <c r="L73" s="33">
        <f t="shared" si="13"/>
        <v>0</v>
      </c>
      <c r="M73" s="48">
        <v>3019.8062701225281</v>
      </c>
      <c r="N73" s="30">
        <f t="shared" si="14"/>
        <v>1</v>
      </c>
      <c r="O73" s="28">
        <v>16399.4022</v>
      </c>
      <c r="P73" s="33">
        <f t="shared" si="15"/>
        <v>1.1585787668671693E-9</v>
      </c>
      <c r="Q73" s="43">
        <v>7709</v>
      </c>
      <c r="R73" s="30">
        <f t="shared" si="16"/>
        <v>0</v>
      </c>
      <c r="S73" s="28">
        <v>16402.00908</v>
      </c>
      <c r="T73" s="33">
        <f t="shared" si="17"/>
        <v>1.5896305067868987E-4</v>
      </c>
      <c r="U73" s="44">
        <v>1541.8</v>
      </c>
      <c r="V73" s="30">
        <f t="shared" si="20"/>
        <v>1</v>
      </c>
      <c r="W73" s="28">
        <v>16399.402181000001</v>
      </c>
      <c r="X73" s="33">
        <f t="shared" si="11"/>
        <v>0</v>
      </c>
      <c r="Y73" s="48">
        <v>3599.392552375793</v>
      </c>
    </row>
    <row r="74" spans="1:25" x14ac:dyDescent="0.35">
      <c r="A74" s="7" t="s">
        <v>93</v>
      </c>
      <c r="B74" t="s">
        <v>118</v>
      </c>
      <c r="C74">
        <v>700</v>
      </c>
      <c r="D74">
        <v>700</v>
      </c>
      <c r="E74" s="26">
        <v>37474.449999999997</v>
      </c>
      <c r="F74" s="30">
        <f t="shared" si="18"/>
        <v>0</v>
      </c>
      <c r="G74">
        <v>37672.278315000003</v>
      </c>
      <c r="H74" s="33">
        <f t="shared" si="12"/>
        <v>5.2790185046079699E-3</v>
      </c>
      <c r="I74" s="48">
        <v>3604</v>
      </c>
      <c r="J74" s="30">
        <f t="shared" si="19"/>
        <v>0</v>
      </c>
      <c r="K74">
        <v>37541.338263000063</v>
      </c>
      <c r="L74" s="33">
        <f t="shared" si="13"/>
        <v>1.7849031273325219E-3</v>
      </c>
      <c r="M74" s="48">
        <v>3601.1097054481511</v>
      </c>
      <c r="N74" s="30">
        <f t="shared" si="14"/>
        <v>0</v>
      </c>
      <c r="O74" s="28">
        <v>37504.557000000001</v>
      </c>
      <c r="P74" s="33">
        <f t="shared" si="15"/>
        <v>8.0340071702196059E-4</v>
      </c>
      <c r="Q74" s="43">
        <v>35975</v>
      </c>
      <c r="R74" s="30">
        <f t="shared" si="16"/>
        <v>0</v>
      </c>
      <c r="S74" s="28">
        <v>37530.327279999998</v>
      </c>
      <c r="T74" s="33">
        <f t="shared" si="17"/>
        <v>1.491076720272095E-3</v>
      </c>
      <c r="U74" s="44">
        <v>7195</v>
      </c>
      <c r="V74" s="30">
        <f t="shared" si="20"/>
        <v>0</v>
      </c>
      <c r="W74" s="28">
        <v>37556.773394000062</v>
      </c>
      <c r="X74" s="33">
        <f t="shared" si="11"/>
        <v>2.1967872510487703E-3</v>
      </c>
      <c r="Y74" s="48">
        <v>3601.093621969223</v>
      </c>
    </row>
    <row r="75" spans="1:25" x14ac:dyDescent="0.35">
      <c r="A75" s="7" t="s">
        <v>94</v>
      </c>
      <c r="B75" t="s">
        <v>118</v>
      </c>
      <c r="C75">
        <v>700</v>
      </c>
      <c r="D75">
        <v>700</v>
      </c>
      <c r="E75" s="26">
        <v>22207.584564000001</v>
      </c>
      <c r="F75" s="30">
        <f t="shared" si="18"/>
        <v>0</v>
      </c>
      <c r="G75">
        <v>22287.157191999991</v>
      </c>
      <c r="H75" s="33">
        <f t="shared" si="12"/>
        <v>3.5831284474306772E-3</v>
      </c>
      <c r="I75" s="48">
        <v>3601.7</v>
      </c>
      <c r="J75" s="30">
        <f t="shared" si="19"/>
        <v>0</v>
      </c>
      <c r="K75">
        <v>22219.509902000009</v>
      </c>
      <c r="L75" s="33">
        <f t="shared" si="13"/>
        <v>5.3699392500974538E-4</v>
      </c>
      <c r="M75" s="48">
        <v>3600.1869306564331</v>
      </c>
      <c r="N75" s="30">
        <f t="shared" si="14"/>
        <v>0</v>
      </c>
      <c r="O75" s="28">
        <v>22219.452499999999</v>
      </c>
      <c r="P75" s="33">
        <f t="shared" si="15"/>
        <v>5.3440913242034727E-4</v>
      </c>
      <c r="Q75" s="43">
        <v>17585</v>
      </c>
      <c r="R75" s="30">
        <f t="shared" si="16"/>
        <v>0</v>
      </c>
      <c r="S75" s="28">
        <v>22236.466759999999</v>
      </c>
      <c r="T75" s="33">
        <f t="shared" si="17"/>
        <v>1.3005554889034918E-3</v>
      </c>
      <c r="U75" s="44">
        <v>3517</v>
      </c>
      <c r="V75" s="30">
        <f t="shared" si="20"/>
        <v>1</v>
      </c>
      <c r="W75" s="28">
        <v>22207.584564000001</v>
      </c>
      <c r="X75" s="33">
        <f t="shared" si="11"/>
        <v>0</v>
      </c>
      <c r="Y75" s="48">
        <v>3607.1959884166722</v>
      </c>
    </row>
    <row r="76" spans="1:25" x14ac:dyDescent="0.35">
      <c r="A76" s="7" t="s">
        <v>95</v>
      </c>
      <c r="B76" t="s">
        <v>118</v>
      </c>
      <c r="C76">
        <v>700</v>
      </c>
      <c r="D76">
        <v>700</v>
      </c>
      <c r="E76" s="26">
        <v>17180.272187999999</v>
      </c>
      <c r="F76" s="30">
        <f t="shared" si="18"/>
        <v>0</v>
      </c>
      <c r="G76">
        <v>17186.896732000001</v>
      </c>
      <c r="H76" s="33">
        <f t="shared" si="12"/>
        <v>3.8559016571513595E-4</v>
      </c>
      <c r="I76" s="48">
        <v>3607.5</v>
      </c>
      <c r="J76" s="30">
        <f t="shared" si="19"/>
        <v>0</v>
      </c>
      <c r="K76">
        <v>17187.783072999999</v>
      </c>
      <c r="L76" s="33">
        <f t="shared" si="13"/>
        <v>4.3718079188791078E-4</v>
      </c>
      <c r="M76" s="48">
        <v>1787.4469487667079</v>
      </c>
      <c r="N76" s="30">
        <f t="shared" si="14"/>
        <v>0</v>
      </c>
      <c r="O76" s="28">
        <v>17197.983700000001</v>
      </c>
      <c r="P76" s="33">
        <f t="shared" si="15"/>
        <v>1.0309215014866141E-3</v>
      </c>
      <c r="Q76" s="43">
        <v>14423</v>
      </c>
      <c r="R76" s="30">
        <f t="shared" si="16"/>
        <v>0</v>
      </c>
      <c r="S76" s="28">
        <v>17208.236359999999</v>
      </c>
      <c r="T76" s="33">
        <f t="shared" si="17"/>
        <v>1.6276908592596255E-3</v>
      </c>
      <c r="U76" s="44">
        <v>2884.6</v>
      </c>
      <c r="V76" s="30">
        <f t="shared" si="20"/>
        <v>1</v>
      </c>
      <c r="W76" s="28">
        <v>17180.272187999999</v>
      </c>
      <c r="X76" s="33">
        <f t="shared" si="11"/>
        <v>0</v>
      </c>
      <c r="Y76" s="48">
        <v>3607.8553590774541</v>
      </c>
    </row>
    <row r="77" spans="1:25" x14ac:dyDescent="0.35">
      <c r="A77" s="7" t="s">
        <v>96</v>
      </c>
      <c r="B77" t="s">
        <v>118</v>
      </c>
      <c r="C77">
        <v>700</v>
      </c>
      <c r="D77">
        <v>700</v>
      </c>
      <c r="E77" s="26">
        <v>18194.028251</v>
      </c>
      <c r="F77" s="30">
        <f t="shared" si="18"/>
        <v>0</v>
      </c>
      <c r="G77">
        <v>18211.17971</v>
      </c>
      <c r="H77" s="33">
        <f t="shared" si="12"/>
        <v>9.4269717312645798E-4</v>
      </c>
      <c r="I77" s="48">
        <v>3609.9</v>
      </c>
      <c r="J77" s="30">
        <f t="shared" si="19"/>
        <v>1</v>
      </c>
      <c r="K77">
        <v>18194.227180000002</v>
      </c>
      <c r="L77" s="33">
        <f t="shared" si="13"/>
        <v>1.0933752397082265E-5</v>
      </c>
      <c r="M77" s="48">
        <v>3600.1398046016689</v>
      </c>
      <c r="N77" s="30">
        <f t="shared" si="14"/>
        <v>0</v>
      </c>
      <c r="O77" s="28">
        <v>18226.708299999998</v>
      </c>
      <c r="P77" s="33">
        <f t="shared" si="15"/>
        <v>1.7961964524377658E-3</v>
      </c>
      <c r="Q77" s="43">
        <v>15194</v>
      </c>
      <c r="R77" s="30">
        <f t="shared" si="16"/>
        <v>0</v>
      </c>
      <c r="S77" s="28">
        <v>18242.743439999998</v>
      </c>
      <c r="T77" s="33">
        <f t="shared" si="17"/>
        <v>2.6775372846483906E-3</v>
      </c>
      <c r="U77" s="44">
        <v>3038.8</v>
      </c>
      <c r="V77" s="30">
        <f t="shared" si="20"/>
        <v>1</v>
      </c>
      <c r="W77" s="28">
        <v>18194.028251</v>
      </c>
      <c r="X77" s="33">
        <f t="shared" si="11"/>
        <v>0</v>
      </c>
      <c r="Y77" s="48">
        <v>3610.7586629390721</v>
      </c>
    </row>
    <row r="78" spans="1:25" x14ac:dyDescent="0.35">
      <c r="A78" s="7" t="s">
        <v>97</v>
      </c>
      <c r="B78" t="s">
        <v>118</v>
      </c>
      <c r="C78">
        <v>700</v>
      </c>
      <c r="D78">
        <v>700</v>
      </c>
      <c r="E78" s="26">
        <v>17284.7238</v>
      </c>
      <c r="F78" s="30">
        <f t="shared" si="18"/>
        <v>1</v>
      </c>
      <c r="G78">
        <v>17284.723832</v>
      </c>
      <c r="H78" s="33">
        <f t="shared" si="12"/>
        <v>1.8513457483889774E-9</v>
      </c>
      <c r="I78" s="48">
        <v>3611</v>
      </c>
      <c r="J78" s="30">
        <f t="shared" si="19"/>
        <v>1</v>
      </c>
      <c r="K78">
        <v>17284.723832</v>
      </c>
      <c r="L78" s="33">
        <f t="shared" si="13"/>
        <v>1.8513457483889774E-9</v>
      </c>
      <c r="M78" s="48">
        <v>3510.753606319427</v>
      </c>
      <c r="N78" s="30">
        <f t="shared" si="14"/>
        <v>1</v>
      </c>
      <c r="O78" s="28">
        <v>17284.7238</v>
      </c>
      <c r="P78" s="33">
        <f t="shared" si="15"/>
        <v>0</v>
      </c>
      <c r="Q78" s="43">
        <v>7853</v>
      </c>
      <c r="R78" s="30">
        <f t="shared" si="16"/>
        <v>0</v>
      </c>
      <c r="S78" s="28">
        <v>17286.954239999999</v>
      </c>
      <c r="T78" s="33">
        <f t="shared" si="17"/>
        <v>1.2904111317065778E-4</v>
      </c>
      <c r="U78" s="44">
        <v>1570.6</v>
      </c>
      <c r="V78" s="30">
        <f t="shared" si="20"/>
        <v>1</v>
      </c>
      <c r="W78" s="28">
        <v>17284.723832000011</v>
      </c>
      <c r="X78" s="33">
        <f t="shared" si="11"/>
        <v>1.8513463798099098E-9</v>
      </c>
      <c r="Y78" s="48">
        <v>3609.336926221848</v>
      </c>
    </row>
    <row r="79" spans="1:25" x14ac:dyDescent="0.35">
      <c r="A79" s="7" t="s">
        <v>98</v>
      </c>
      <c r="B79" t="s">
        <v>118</v>
      </c>
      <c r="C79">
        <v>700</v>
      </c>
      <c r="D79">
        <v>700</v>
      </c>
      <c r="E79" s="26">
        <v>17383.87</v>
      </c>
      <c r="F79" s="30">
        <f t="shared" si="18"/>
        <v>1</v>
      </c>
      <c r="G79">
        <v>17383.874705999999</v>
      </c>
      <c r="H79" s="33">
        <f t="shared" si="12"/>
        <v>2.7071072204949472E-7</v>
      </c>
      <c r="I79" s="48">
        <v>3609.9</v>
      </c>
      <c r="J79" s="30">
        <f t="shared" si="19"/>
        <v>1</v>
      </c>
      <c r="K79">
        <v>17383.874705999991</v>
      </c>
      <c r="L79" s="33">
        <f t="shared" si="13"/>
        <v>2.7071072163094827E-7</v>
      </c>
      <c r="M79" s="48">
        <v>3604.1001470088959</v>
      </c>
      <c r="N79" s="30">
        <f t="shared" si="14"/>
        <v>1</v>
      </c>
      <c r="O79" s="28">
        <v>17383.8747</v>
      </c>
      <c r="P79" s="33">
        <f t="shared" si="15"/>
        <v>2.7036557459997767E-7</v>
      </c>
      <c r="Q79" s="43">
        <v>23930</v>
      </c>
      <c r="R79" s="30">
        <f t="shared" si="16"/>
        <v>1</v>
      </c>
      <c r="S79" s="28">
        <v>17384.437580000002</v>
      </c>
      <c r="T79" s="33">
        <f t="shared" si="17"/>
        <v>3.264980697638878E-5</v>
      </c>
      <c r="U79" s="44">
        <v>4786</v>
      </c>
      <c r="V79" s="30">
        <f t="shared" si="20"/>
        <v>1</v>
      </c>
      <c r="W79" s="28">
        <v>17383.874705999999</v>
      </c>
      <c r="X79" s="33">
        <f t="shared" si="11"/>
        <v>2.7071072204949472E-7</v>
      </c>
      <c r="Y79" s="48">
        <v>3608.0697982311249</v>
      </c>
    </row>
    <row r="80" spans="1:25" x14ac:dyDescent="0.35">
      <c r="A80" s="7" t="s">
        <v>99</v>
      </c>
      <c r="B80" t="s">
        <v>118</v>
      </c>
      <c r="C80">
        <v>700</v>
      </c>
      <c r="D80">
        <v>700</v>
      </c>
      <c r="E80" s="26">
        <v>18218.211384999999</v>
      </c>
      <c r="F80" s="30">
        <f t="shared" si="18"/>
        <v>0</v>
      </c>
      <c r="G80">
        <v>18221.278900000001</v>
      </c>
      <c r="H80" s="33">
        <f t="shared" si="12"/>
        <v>1.6837629859362064E-4</v>
      </c>
      <c r="I80" s="48">
        <v>3607.4</v>
      </c>
      <c r="J80" s="30">
        <f t="shared" si="19"/>
        <v>1</v>
      </c>
      <c r="K80">
        <v>18218.211384999999</v>
      </c>
      <c r="L80" s="33">
        <f t="shared" si="13"/>
        <v>0</v>
      </c>
      <c r="M80" s="48">
        <v>3599.9977965354919</v>
      </c>
      <c r="N80" s="30">
        <f t="shared" si="14"/>
        <v>0</v>
      </c>
      <c r="O80" s="28">
        <v>18221.247200000002</v>
      </c>
      <c r="P80" s="33">
        <f t="shared" si="15"/>
        <v>1.6663628145749024E-4</v>
      </c>
      <c r="Q80" s="43">
        <v>11448</v>
      </c>
      <c r="R80" s="30">
        <f t="shared" si="16"/>
        <v>0</v>
      </c>
      <c r="S80" s="28">
        <v>18221.791700000002</v>
      </c>
      <c r="T80" s="33">
        <f t="shared" si="17"/>
        <v>1.9652395750280641E-4</v>
      </c>
      <c r="U80" s="44">
        <v>2289.6</v>
      </c>
      <c r="V80" s="30">
        <f t="shared" si="20"/>
        <v>0</v>
      </c>
      <c r="W80" s="28">
        <v>18254.77093499999</v>
      </c>
      <c r="X80" s="33">
        <f t="shared" si="11"/>
        <v>2.006758469719603E-3</v>
      </c>
      <c r="Y80" s="48">
        <v>3609.4839565753941</v>
      </c>
    </row>
    <row r="81" spans="1:25" x14ac:dyDescent="0.35">
      <c r="A81" s="7" t="s">
        <v>100</v>
      </c>
      <c r="B81" t="s">
        <v>118</v>
      </c>
      <c r="C81">
        <v>700</v>
      </c>
      <c r="D81">
        <v>700</v>
      </c>
      <c r="E81" s="26">
        <v>16029.55</v>
      </c>
      <c r="F81" s="30">
        <f t="shared" si="18"/>
        <v>1</v>
      </c>
      <c r="G81">
        <v>16029.554789</v>
      </c>
      <c r="H81" s="33">
        <f t="shared" si="12"/>
        <v>2.9876072631659508E-7</v>
      </c>
      <c r="I81" s="48">
        <v>490.8</v>
      </c>
      <c r="J81" s="30">
        <f t="shared" si="19"/>
        <v>1</v>
      </c>
      <c r="K81">
        <v>16029.554789</v>
      </c>
      <c r="L81" s="33">
        <f t="shared" si="13"/>
        <v>2.9876072631659508E-7</v>
      </c>
      <c r="M81" s="48">
        <v>332.90176582336431</v>
      </c>
      <c r="N81" s="30">
        <f t="shared" si="14"/>
        <v>1</v>
      </c>
      <c r="O81" s="28">
        <v>16029.5548</v>
      </c>
      <c r="P81" s="33">
        <f t="shared" si="15"/>
        <v>2.9944695893609558E-7</v>
      </c>
      <c r="Q81" s="43">
        <v>3323</v>
      </c>
      <c r="R81" s="30">
        <f t="shared" si="16"/>
        <v>1</v>
      </c>
      <c r="S81" s="28">
        <v>16029.5548</v>
      </c>
      <c r="T81" s="33">
        <f t="shared" si="17"/>
        <v>2.9944695893609558E-7</v>
      </c>
      <c r="U81" s="44">
        <v>664.6</v>
      </c>
      <c r="V81" s="30">
        <f t="shared" si="20"/>
        <v>1</v>
      </c>
      <c r="W81" s="28">
        <v>16029.554789</v>
      </c>
      <c r="X81" s="33">
        <f t="shared" si="11"/>
        <v>2.9876072631659508E-7</v>
      </c>
      <c r="Y81" s="48">
        <v>254.71343493461609</v>
      </c>
    </row>
    <row r="82" spans="1:25" x14ac:dyDescent="0.35">
      <c r="A82" s="7" t="s">
        <v>101</v>
      </c>
      <c r="B82" t="s">
        <v>118</v>
      </c>
      <c r="C82">
        <v>700</v>
      </c>
      <c r="D82">
        <v>700</v>
      </c>
      <c r="E82" s="26">
        <v>16199.5468</v>
      </c>
      <c r="F82" s="30">
        <f t="shared" si="18"/>
        <v>1</v>
      </c>
      <c r="G82">
        <v>16199.546815</v>
      </c>
      <c r="H82" s="33">
        <f t="shared" si="12"/>
        <v>9.2595180632263902E-10</v>
      </c>
      <c r="I82" s="48">
        <v>491.4</v>
      </c>
      <c r="J82" s="30">
        <f t="shared" si="19"/>
        <v>1</v>
      </c>
      <c r="K82">
        <v>16199.546814999991</v>
      </c>
      <c r="L82" s="33">
        <f t="shared" si="13"/>
        <v>9.2595124489045022E-10</v>
      </c>
      <c r="M82" s="48">
        <v>281.43267679214478</v>
      </c>
      <c r="N82" s="30">
        <f t="shared" si="14"/>
        <v>1</v>
      </c>
      <c r="O82" s="28">
        <v>16199.5468</v>
      </c>
      <c r="P82" s="33">
        <f t="shared" si="15"/>
        <v>0</v>
      </c>
      <c r="Q82" s="43">
        <v>2311</v>
      </c>
      <c r="R82" s="30">
        <f t="shared" si="16"/>
        <v>1</v>
      </c>
      <c r="S82" s="28">
        <v>16199.5468</v>
      </c>
      <c r="T82" s="33">
        <f t="shared" si="17"/>
        <v>0</v>
      </c>
      <c r="U82" s="44">
        <v>462.2</v>
      </c>
      <c r="V82" s="30">
        <f t="shared" si="20"/>
        <v>1</v>
      </c>
      <c r="W82" s="28">
        <v>16199.546815</v>
      </c>
      <c r="X82" s="33">
        <f t="shared" si="11"/>
        <v>9.2595180632263902E-10</v>
      </c>
      <c r="Y82" s="48">
        <v>323.38750958442688</v>
      </c>
    </row>
    <row r="83" spans="1:25" x14ac:dyDescent="0.35">
      <c r="A83" s="7" t="s">
        <v>102</v>
      </c>
      <c r="B83" t="s">
        <v>118</v>
      </c>
      <c r="C83">
        <v>700</v>
      </c>
      <c r="D83">
        <v>700</v>
      </c>
      <c r="E83" s="26">
        <v>16443.07</v>
      </c>
      <c r="F83" s="30">
        <f t="shared" si="18"/>
        <v>1</v>
      </c>
      <c r="G83">
        <v>16443.071961999991</v>
      </c>
      <c r="H83" s="33">
        <f t="shared" si="12"/>
        <v>1.1932078323458294E-7</v>
      </c>
      <c r="I83" s="48">
        <v>617.4</v>
      </c>
      <c r="J83" s="30">
        <f t="shared" si="19"/>
        <v>1</v>
      </c>
      <c r="K83">
        <v>16443.071961999991</v>
      </c>
      <c r="L83" s="33">
        <f t="shared" si="13"/>
        <v>1.1932078323458294E-7</v>
      </c>
      <c r="M83" s="48">
        <v>449.90766572952271</v>
      </c>
      <c r="N83" s="30">
        <f t="shared" si="14"/>
        <v>1</v>
      </c>
      <c r="O83" s="28">
        <v>16443.072</v>
      </c>
      <c r="P83" s="33">
        <f t="shared" si="15"/>
        <v>1.2163178776271424E-7</v>
      </c>
      <c r="Q83" s="43">
        <v>5737</v>
      </c>
      <c r="R83" s="30">
        <f t="shared" si="16"/>
        <v>1</v>
      </c>
      <c r="S83" s="28">
        <v>16443.072</v>
      </c>
      <c r="T83" s="33">
        <f t="shared" si="17"/>
        <v>1.2163178776271424E-7</v>
      </c>
      <c r="U83" s="44">
        <v>1147.4000000000001</v>
      </c>
      <c r="V83" s="30">
        <f t="shared" si="20"/>
        <v>1</v>
      </c>
      <c r="W83" s="28">
        <v>16443.071961999991</v>
      </c>
      <c r="X83" s="33">
        <f t="shared" si="11"/>
        <v>1.1932078323458294E-7</v>
      </c>
      <c r="Y83" s="48">
        <v>380.76088690757751</v>
      </c>
    </row>
    <row r="84" spans="1:25" x14ac:dyDescent="0.35">
      <c r="A84" s="7" t="s">
        <v>103</v>
      </c>
      <c r="B84" t="s">
        <v>118</v>
      </c>
      <c r="C84">
        <v>700</v>
      </c>
      <c r="D84">
        <v>700</v>
      </c>
      <c r="E84" s="26">
        <v>16399.79</v>
      </c>
      <c r="F84" s="30">
        <f t="shared" si="18"/>
        <v>1</v>
      </c>
      <c r="G84">
        <v>16399.791654999939</v>
      </c>
      <c r="H84" s="33">
        <f t="shared" si="12"/>
        <v>1.0091592259305149E-7</v>
      </c>
      <c r="I84" s="48">
        <v>626.9</v>
      </c>
      <c r="J84" s="30">
        <f t="shared" si="19"/>
        <v>1</v>
      </c>
      <c r="K84">
        <v>16399.791655000001</v>
      </c>
      <c r="L84" s="33">
        <f t="shared" si="13"/>
        <v>1.0091592636417537E-7</v>
      </c>
      <c r="M84" s="48">
        <v>320.01445364952087</v>
      </c>
      <c r="N84" s="30">
        <f t="shared" si="14"/>
        <v>1</v>
      </c>
      <c r="O84" s="28">
        <v>16399.791700000002</v>
      </c>
      <c r="P84" s="33">
        <f t="shared" si="15"/>
        <v>1.0365986398058349E-7</v>
      </c>
      <c r="Q84" s="43">
        <v>2846</v>
      </c>
      <c r="R84" s="30">
        <f t="shared" si="16"/>
        <v>1</v>
      </c>
      <c r="S84" s="28">
        <v>16399.791700000002</v>
      </c>
      <c r="T84" s="33">
        <f t="shared" si="17"/>
        <v>1.0365986398058349E-7</v>
      </c>
      <c r="U84" s="44">
        <v>569.20000000000005</v>
      </c>
      <c r="V84" s="30">
        <f t="shared" si="20"/>
        <v>1</v>
      </c>
      <c r="W84" s="28">
        <v>16399.791655000001</v>
      </c>
      <c r="X84" s="33">
        <f t="shared" si="11"/>
        <v>1.0091592636417537E-7</v>
      </c>
      <c r="Y84" s="48">
        <v>348.36208724975592</v>
      </c>
    </row>
    <row r="85" spans="1:25" x14ac:dyDescent="0.35">
      <c r="A85" s="7" t="s">
        <v>104</v>
      </c>
      <c r="B85" t="s">
        <v>118</v>
      </c>
      <c r="C85">
        <v>700</v>
      </c>
      <c r="D85">
        <v>700</v>
      </c>
      <c r="E85" s="26">
        <v>34845.154919000001</v>
      </c>
      <c r="F85" s="30">
        <f t="shared" si="18"/>
        <v>0</v>
      </c>
      <c r="G85">
        <v>35071.148269999991</v>
      </c>
      <c r="H85" s="33">
        <f t="shared" si="12"/>
        <v>6.4856463265933932E-3</v>
      </c>
      <c r="I85" s="48">
        <v>3604.1</v>
      </c>
      <c r="J85" s="30">
        <f t="shared" si="19"/>
        <v>0</v>
      </c>
      <c r="K85">
        <v>34871.005515999997</v>
      </c>
      <c r="L85" s="33">
        <f t="shared" si="13"/>
        <v>7.4187062907564753E-4</v>
      </c>
      <c r="M85" s="48">
        <v>3601.4450776577</v>
      </c>
      <c r="N85" s="30">
        <f t="shared" si="14"/>
        <v>0</v>
      </c>
      <c r="O85" s="28">
        <v>34925.1535</v>
      </c>
      <c r="P85" s="33">
        <f t="shared" si="15"/>
        <v>2.2958308317458233E-3</v>
      </c>
      <c r="Q85" s="43">
        <v>29038</v>
      </c>
      <c r="R85" s="30">
        <f t="shared" si="16"/>
        <v>0</v>
      </c>
      <c r="S85" s="28">
        <v>34967.673860000003</v>
      </c>
      <c r="T85" s="33">
        <f t="shared" si="17"/>
        <v>3.516096894526827E-3</v>
      </c>
      <c r="U85" s="44">
        <v>5807.6</v>
      </c>
      <c r="V85" s="30">
        <f t="shared" si="20"/>
        <v>1</v>
      </c>
      <c r="W85" s="28">
        <v>34845.154919000001</v>
      </c>
      <c r="X85" s="33">
        <f t="shared" si="11"/>
        <v>0</v>
      </c>
      <c r="Y85" s="48">
        <v>3601.4536025524139</v>
      </c>
    </row>
    <row r="86" spans="1:25" x14ac:dyDescent="0.35">
      <c r="A86" s="7" t="s">
        <v>105</v>
      </c>
      <c r="B86" t="s">
        <v>118</v>
      </c>
      <c r="C86">
        <v>700</v>
      </c>
      <c r="D86">
        <v>700</v>
      </c>
      <c r="E86" s="26">
        <v>15492.023289999999</v>
      </c>
      <c r="F86" s="30">
        <f t="shared" si="18"/>
        <v>1</v>
      </c>
      <c r="G86">
        <v>15492.023293</v>
      </c>
      <c r="H86" s="33">
        <f t="shared" si="12"/>
        <v>1.9364810905905034E-10</v>
      </c>
      <c r="I86" s="48">
        <v>2613.4</v>
      </c>
      <c r="J86" s="30">
        <f t="shared" si="19"/>
        <v>1</v>
      </c>
      <c r="K86">
        <v>15492.023293</v>
      </c>
      <c r="L86" s="33">
        <f t="shared" si="13"/>
        <v>1.9364810905905034E-10</v>
      </c>
      <c r="M86" s="48">
        <v>3599.788662910461</v>
      </c>
      <c r="N86" s="30">
        <f t="shared" si="14"/>
        <v>1</v>
      </c>
      <c r="O86" s="28">
        <v>15493.5358</v>
      </c>
      <c r="P86" s="33">
        <f t="shared" si="15"/>
        <v>9.7631534092566872E-5</v>
      </c>
      <c r="Q86" s="43">
        <v>12468</v>
      </c>
      <c r="R86" s="30">
        <f t="shared" si="16"/>
        <v>0</v>
      </c>
      <c r="S86" s="28">
        <v>15516.77528</v>
      </c>
      <c r="T86" s="33">
        <f t="shared" si="17"/>
        <v>1.5977248120959068E-3</v>
      </c>
      <c r="U86" s="44">
        <v>2493.6</v>
      </c>
      <c r="V86" s="30">
        <f t="shared" si="20"/>
        <v>0</v>
      </c>
      <c r="W86" s="28">
        <v>15501.408810999999</v>
      </c>
      <c r="X86" s="33">
        <f t="shared" si="11"/>
        <v>6.0582925963314593E-4</v>
      </c>
      <c r="Y86" s="48">
        <v>3605.6850061416631</v>
      </c>
    </row>
    <row r="87" spans="1:25" x14ac:dyDescent="0.35">
      <c r="A87" s="7" t="s">
        <v>106</v>
      </c>
      <c r="B87" t="s">
        <v>118</v>
      </c>
      <c r="C87">
        <v>700</v>
      </c>
      <c r="D87">
        <v>700</v>
      </c>
      <c r="E87" s="26">
        <v>34802.597916999992</v>
      </c>
      <c r="F87" s="30">
        <f t="shared" si="18"/>
        <v>0</v>
      </c>
      <c r="G87">
        <v>35089.236204000023</v>
      </c>
      <c r="H87" s="33">
        <f t="shared" si="12"/>
        <v>8.2361175359273037E-3</v>
      </c>
      <c r="I87" s="48">
        <v>3603.1</v>
      </c>
      <c r="J87" s="30">
        <f t="shared" si="19"/>
        <v>0</v>
      </c>
      <c r="K87">
        <v>34879.167013999991</v>
      </c>
      <c r="L87" s="33">
        <f t="shared" si="13"/>
        <v>2.2000971646601694E-3</v>
      </c>
      <c r="M87" s="48">
        <v>3600.8786189556122</v>
      </c>
      <c r="N87" s="30">
        <f t="shared" si="14"/>
        <v>0</v>
      </c>
      <c r="O87" s="28">
        <v>34882.688399999999</v>
      </c>
      <c r="P87" s="33">
        <f t="shared" si="15"/>
        <v>2.3012788640380637E-3</v>
      </c>
      <c r="Q87" s="43">
        <v>26358</v>
      </c>
      <c r="R87" s="30">
        <f t="shared" si="16"/>
        <v>0</v>
      </c>
      <c r="S87" s="28">
        <v>34974.142160000003</v>
      </c>
      <c r="T87" s="33">
        <f t="shared" si="17"/>
        <v>4.9290643017260828E-3</v>
      </c>
      <c r="U87" s="44">
        <v>5271.6</v>
      </c>
      <c r="V87" s="30">
        <f t="shared" si="20"/>
        <v>1</v>
      </c>
      <c r="W87" s="28">
        <v>34802.597916999992</v>
      </c>
      <c r="X87" s="33">
        <f t="shared" si="11"/>
        <v>0</v>
      </c>
      <c r="Y87" s="48">
        <v>3600.7671301364899</v>
      </c>
    </row>
    <row r="88" spans="1:25" x14ac:dyDescent="0.35">
      <c r="A88" s="7" t="s">
        <v>107</v>
      </c>
      <c r="B88" t="s">
        <v>118</v>
      </c>
      <c r="C88">
        <v>700</v>
      </c>
      <c r="D88">
        <v>700</v>
      </c>
      <c r="E88" s="26">
        <v>38659.274763000001</v>
      </c>
      <c r="F88" s="30">
        <f t="shared" si="18"/>
        <v>0</v>
      </c>
      <c r="G88">
        <v>38724.143267000007</v>
      </c>
      <c r="H88" s="33">
        <f t="shared" si="12"/>
        <v>1.6779544985693782E-3</v>
      </c>
      <c r="I88" s="48">
        <v>3605.8</v>
      </c>
      <c r="J88" s="30">
        <f t="shared" si="19"/>
        <v>0</v>
      </c>
      <c r="K88">
        <v>38677.943455999994</v>
      </c>
      <c r="L88" s="33">
        <f t="shared" si="13"/>
        <v>4.8290334245638174E-4</v>
      </c>
      <c r="M88" s="48">
        <v>3601.522341966629</v>
      </c>
      <c r="N88" s="30">
        <f t="shared" si="14"/>
        <v>0</v>
      </c>
      <c r="O88" s="28">
        <v>38700.777699999999</v>
      </c>
      <c r="P88" s="33">
        <f t="shared" si="15"/>
        <v>1.073557050783557E-3</v>
      </c>
      <c r="Q88" s="43">
        <v>27118</v>
      </c>
      <c r="R88" s="30">
        <f t="shared" si="16"/>
        <v>0</v>
      </c>
      <c r="S88" s="28">
        <v>38745.975760000001</v>
      </c>
      <c r="T88" s="33">
        <f t="shared" si="17"/>
        <v>2.2426958997942624E-3</v>
      </c>
      <c r="U88" s="44">
        <v>5423.6</v>
      </c>
      <c r="V88" s="30">
        <f t="shared" si="20"/>
        <v>1</v>
      </c>
      <c r="W88" s="28">
        <v>38659.274763000001</v>
      </c>
      <c r="X88" s="33">
        <f t="shared" si="11"/>
        <v>0</v>
      </c>
      <c r="Y88" s="48">
        <v>3603.4768168926239</v>
      </c>
    </row>
    <row r="89" spans="1:25" x14ac:dyDescent="0.35">
      <c r="A89" s="7" t="s">
        <v>108</v>
      </c>
      <c r="B89" t="s">
        <v>118</v>
      </c>
      <c r="C89">
        <v>700</v>
      </c>
      <c r="D89">
        <v>700</v>
      </c>
      <c r="E89" s="26">
        <v>38286.877138000011</v>
      </c>
      <c r="F89" s="30">
        <f t="shared" si="18"/>
        <v>0</v>
      </c>
      <c r="G89">
        <v>38400.565297000008</v>
      </c>
      <c r="H89" s="33">
        <f t="shared" si="12"/>
        <v>2.9693766506530038E-3</v>
      </c>
      <c r="I89" s="48">
        <v>3605.2</v>
      </c>
      <c r="J89" s="30">
        <f t="shared" si="19"/>
        <v>1</v>
      </c>
      <c r="K89">
        <v>38286.877138000011</v>
      </c>
      <c r="L89" s="33">
        <f t="shared" si="13"/>
        <v>0</v>
      </c>
      <c r="M89" s="48">
        <v>3601.447031974792</v>
      </c>
      <c r="N89" s="30">
        <f t="shared" si="14"/>
        <v>0</v>
      </c>
      <c r="O89" s="28">
        <v>38375.666400000002</v>
      </c>
      <c r="P89" s="33">
        <f t="shared" si="15"/>
        <v>2.3190520783390595E-3</v>
      </c>
      <c r="Q89" s="43">
        <v>22044</v>
      </c>
      <c r="R89" s="30">
        <f t="shared" si="16"/>
        <v>0</v>
      </c>
      <c r="S89" s="28">
        <v>38409.314939999997</v>
      </c>
      <c r="T89" s="33">
        <f t="shared" si="17"/>
        <v>3.1979051610470837E-3</v>
      </c>
      <c r="U89" s="44">
        <v>4408.8</v>
      </c>
      <c r="V89" s="30">
        <f t="shared" si="20"/>
        <v>0</v>
      </c>
      <c r="W89" s="28">
        <v>38355.965480999999</v>
      </c>
      <c r="X89" s="33">
        <f t="shared" si="11"/>
        <v>1.8044914645550401E-3</v>
      </c>
      <c r="Y89" s="48">
        <v>3604.1003797054291</v>
      </c>
    </row>
    <row r="90" spans="1:25" x14ac:dyDescent="0.35">
      <c r="A90" s="7" t="s">
        <v>109</v>
      </c>
      <c r="B90" t="s">
        <v>118</v>
      </c>
      <c r="C90">
        <v>700</v>
      </c>
      <c r="D90">
        <v>700</v>
      </c>
      <c r="E90" s="26">
        <v>20037.099999999999</v>
      </c>
      <c r="F90" s="30">
        <f t="shared" si="18"/>
        <v>0</v>
      </c>
      <c r="G90">
        <v>20066.936833021009</v>
      </c>
      <c r="H90" s="33">
        <f t="shared" si="12"/>
        <v>1.4890794087473005E-3</v>
      </c>
      <c r="I90" s="48">
        <v>3605.1</v>
      </c>
      <c r="J90" s="30">
        <f t="shared" si="19"/>
        <v>1</v>
      </c>
      <c r="K90">
        <v>20037.35031399977</v>
      </c>
      <c r="L90" s="33">
        <f t="shared" si="13"/>
        <v>1.2492526352196984E-5</v>
      </c>
      <c r="M90" s="48">
        <v>3601.378405809402</v>
      </c>
      <c r="N90" s="30">
        <f t="shared" si="14"/>
        <v>0</v>
      </c>
      <c r="O90" s="28">
        <v>20046.5841</v>
      </c>
      <c r="P90" s="33">
        <f t="shared" si="15"/>
        <v>4.7332697845504045E-4</v>
      </c>
      <c r="Q90" s="43">
        <v>16357</v>
      </c>
      <c r="R90" s="30">
        <f t="shared" si="16"/>
        <v>0</v>
      </c>
      <c r="S90" s="28">
        <v>20070.28414</v>
      </c>
      <c r="T90" s="33">
        <f t="shared" si="17"/>
        <v>1.6561348698165507E-3</v>
      </c>
      <c r="U90" s="44">
        <v>3271.4</v>
      </c>
      <c r="V90" s="30">
        <f t="shared" si="20"/>
        <v>0</v>
      </c>
      <c r="W90" s="28">
        <v>20072.962470999999</v>
      </c>
      <c r="X90" s="33">
        <f t="shared" si="11"/>
        <v>1.7898034645732353E-3</v>
      </c>
      <c r="Y90" s="48">
        <v>3607.7628176212311</v>
      </c>
    </row>
    <row r="91" spans="1:25" x14ac:dyDescent="0.35">
      <c r="A91" s="7" t="s">
        <v>110</v>
      </c>
      <c r="B91" t="s">
        <v>118</v>
      </c>
      <c r="C91">
        <v>700</v>
      </c>
      <c r="D91">
        <v>700</v>
      </c>
      <c r="E91" s="26">
        <v>21422.116226000009</v>
      </c>
      <c r="F91" s="30">
        <f t="shared" si="18"/>
        <v>0</v>
      </c>
      <c r="G91">
        <v>21444.578320000041</v>
      </c>
      <c r="H91" s="33">
        <f t="shared" si="12"/>
        <v>1.0485469205310878E-3</v>
      </c>
      <c r="I91" s="48">
        <v>3606.6</v>
      </c>
      <c r="J91" s="30">
        <f t="shared" si="19"/>
        <v>0</v>
      </c>
      <c r="K91">
        <v>21437.388825999999</v>
      </c>
      <c r="L91" s="33">
        <f t="shared" si="13"/>
        <v>7.1293610019037147E-4</v>
      </c>
      <c r="M91" s="48">
        <v>3601.0351016521449</v>
      </c>
      <c r="N91" s="30">
        <f t="shared" si="14"/>
        <v>0</v>
      </c>
      <c r="O91" s="28">
        <v>21437.188099999999</v>
      </c>
      <c r="P91" s="33">
        <f t="shared" si="15"/>
        <v>7.0356606420132663E-4</v>
      </c>
      <c r="Q91" s="43">
        <v>16781</v>
      </c>
      <c r="R91" s="30">
        <f t="shared" si="16"/>
        <v>0</v>
      </c>
      <c r="S91" s="28">
        <v>21438.47032</v>
      </c>
      <c r="T91" s="33">
        <f t="shared" si="17"/>
        <v>7.6342102841091915E-4</v>
      </c>
      <c r="U91" s="44">
        <v>3356.2</v>
      </c>
      <c r="V91" s="30">
        <f t="shared" si="20"/>
        <v>1</v>
      </c>
      <c r="W91" s="28">
        <v>21422.116226000009</v>
      </c>
      <c r="X91" s="33">
        <f t="shared" si="11"/>
        <v>0</v>
      </c>
      <c r="Y91" s="48">
        <v>3607.3721609115601</v>
      </c>
    </row>
    <row r="92" spans="1:25" x14ac:dyDescent="0.35">
      <c r="A92" s="7" t="s">
        <v>111</v>
      </c>
      <c r="B92" t="s">
        <v>118</v>
      </c>
      <c r="C92">
        <v>700</v>
      </c>
      <c r="D92">
        <v>700</v>
      </c>
      <c r="E92" s="26">
        <v>20789.066063000031</v>
      </c>
      <c r="F92" s="30">
        <f t="shared" si="18"/>
        <v>0</v>
      </c>
      <c r="G92">
        <v>20802.794459000001</v>
      </c>
      <c r="H92" s="33">
        <f t="shared" si="12"/>
        <v>6.6036617317807432E-4</v>
      </c>
      <c r="I92" s="48">
        <v>3606.1</v>
      </c>
      <c r="J92" s="30">
        <f t="shared" si="19"/>
        <v>0</v>
      </c>
      <c r="K92">
        <v>20798.539302000001</v>
      </c>
      <c r="L92" s="33">
        <f t="shared" si="13"/>
        <v>4.5568372197489872E-4</v>
      </c>
      <c r="M92" s="48">
        <v>3600.8010711669922</v>
      </c>
      <c r="N92" s="30">
        <f t="shared" si="14"/>
        <v>0</v>
      </c>
      <c r="O92" s="28">
        <v>20798.333500000001</v>
      </c>
      <c r="P92" s="33">
        <f t="shared" si="15"/>
        <v>4.457841911649656E-4</v>
      </c>
      <c r="Q92" s="43">
        <v>20594</v>
      </c>
      <c r="R92" s="30">
        <f t="shared" si="16"/>
        <v>0</v>
      </c>
      <c r="S92" s="28">
        <v>20798.730619999998</v>
      </c>
      <c r="T92" s="33">
        <f t="shared" si="17"/>
        <v>4.648865403900036E-4</v>
      </c>
      <c r="U92" s="44">
        <v>4118.8</v>
      </c>
      <c r="V92" s="30">
        <f t="shared" si="20"/>
        <v>1</v>
      </c>
      <c r="W92" s="28">
        <v>20789.066063000031</v>
      </c>
      <c r="X92" s="33">
        <f t="shared" si="11"/>
        <v>0</v>
      </c>
      <c r="Y92" s="48">
        <v>3602.2481851577759</v>
      </c>
    </row>
    <row r="93" spans="1:25" x14ac:dyDescent="0.35">
      <c r="A93" s="7" t="s">
        <v>112</v>
      </c>
      <c r="B93" t="s">
        <v>118</v>
      </c>
      <c r="C93">
        <v>700</v>
      </c>
      <c r="D93">
        <v>700</v>
      </c>
      <c r="E93" s="26">
        <v>21086.381700000002</v>
      </c>
      <c r="F93" s="30">
        <f t="shared" si="18"/>
        <v>0</v>
      </c>
      <c r="G93">
        <v>21116.006195999998</v>
      </c>
      <c r="H93" s="33">
        <f t="shared" si="12"/>
        <v>1.4049113034881999E-3</v>
      </c>
      <c r="I93" s="48">
        <v>3606.9</v>
      </c>
      <c r="J93" s="30">
        <f t="shared" si="19"/>
        <v>0</v>
      </c>
      <c r="K93">
        <v>21142.817190000002</v>
      </c>
      <c r="L93" s="33">
        <f t="shared" si="13"/>
        <v>2.6763951636140514E-3</v>
      </c>
      <c r="M93" s="48">
        <v>3600.382277488708</v>
      </c>
      <c r="N93" s="30">
        <f t="shared" si="14"/>
        <v>1</v>
      </c>
      <c r="O93" s="28">
        <v>21086.381700000002</v>
      </c>
      <c r="P93" s="33">
        <f t="shared" si="15"/>
        <v>0</v>
      </c>
      <c r="Q93" s="43">
        <v>12974</v>
      </c>
      <c r="R93" s="30">
        <f t="shared" si="16"/>
        <v>0</v>
      </c>
      <c r="S93" s="28">
        <v>21104.051039999998</v>
      </c>
      <c r="T93" s="33">
        <f t="shared" si="17"/>
        <v>8.3795030609716862E-4</v>
      </c>
      <c r="U93" s="44">
        <v>2594.8000000000002</v>
      </c>
      <c r="V93" s="30">
        <f t="shared" si="20"/>
        <v>0</v>
      </c>
      <c r="W93" s="28">
        <v>21102.243955000002</v>
      </c>
      <c r="X93" s="33">
        <f t="shared" si="11"/>
        <v>7.5225115554082957E-4</v>
      </c>
      <c r="Y93" s="48">
        <v>3609.0539770126338</v>
      </c>
    </row>
    <row r="94" spans="1:25" x14ac:dyDescent="0.35">
      <c r="A94" s="7" t="s">
        <v>13</v>
      </c>
      <c r="B94" t="s">
        <v>114</v>
      </c>
      <c r="C94">
        <v>1000</v>
      </c>
      <c r="D94">
        <v>1000</v>
      </c>
      <c r="E94" s="26">
        <v>50346.730753999997</v>
      </c>
      <c r="F94" s="30">
        <f t="shared" si="18"/>
        <v>0</v>
      </c>
      <c r="G94">
        <v>50770.198554000694</v>
      </c>
      <c r="H94" s="33">
        <f t="shared" si="12"/>
        <v>8.4110287531837993E-3</v>
      </c>
      <c r="I94" s="48">
        <v>3605.9</v>
      </c>
      <c r="J94" s="30">
        <f t="shared" si="19"/>
        <v>0</v>
      </c>
      <c r="K94">
        <v>50380.112846999997</v>
      </c>
      <c r="L94" s="33">
        <f t="shared" si="13"/>
        <v>6.6304390573260793E-4</v>
      </c>
      <c r="M94" s="48">
        <v>3602.30338549614</v>
      </c>
      <c r="N94" s="30">
        <f t="shared" si="14"/>
        <v>1</v>
      </c>
      <c r="O94" s="28">
        <v>50348.327400000002</v>
      </c>
      <c r="P94" s="33">
        <f t="shared" si="15"/>
        <v>3.1713002534500604E-5</v>
      </c>
      <c r="Q94" s="43">
        <v>55053</v>
      </c>
      <c r="R94" s="30">
        <f t="shared" si="16"/>
        <v>0</v>
      </c>
      <c r="S94" s="28">
        <v>50392.733520000009</v>
      </c>
      <c r="T94" s="33">
        <f t="shared" si="17"/>
        <v>9.1371903023430118E-4</v>
      </c>
      <c r="U94" s="44">
        <v>11010.6</v>
      </c>
      <c r="V94" s="30">
        <f t="shared" si="20"/>
        <v>1</v>
      </c>
      <c r="W94" s="28">
        <v>50346.730753999997</v>
      </c>
      <c r="X94" s="33">
        <f t="shared" si="11"/>
        <v>0</v>
      </c>
      <c r="Y94" s="48">
        <v>3605.9903633594508</v>
      </c>
    </row>
    <row r="95" spans="1:25" x14ac:dyDescent="0.35">
      <c r="A95" s="7" t="s">
        <v>14</v>
      </c>
      <c r="B95" t="s">
        <v>114</v>
      </c>
      <c r="C95">
        <v>1000</v>
      </c>
      <c r="D95">
        <v>1000</v>
      </c>
      <c r="E95" s="26">
        <v>27373.938147000012</v>
      </c>
      <c r="F95" s="30">
        <f t="shared" si="18"/>
        <v>0</v>
      </c>
      <c r="G95">
        <v>27441.647411000002</v>
      </c>
      <c r="H95" s="33">
        <f t="shared" si="12"/>
        <v>2.473493716409618E-3</v>
      </c>
      <c r="I95" s="48">
        <v>3606.3</v>
      </c>
      <c r="J95" s="30">
        <f t="shared" si="19"/>
        <v>0</v>
      </c>
      <c r="K95">
        <v>27432.685879000081</v>
      </c>
      <c r="L95" s="33">
        <f t="shared" si="13"/>
        <v>2.1461191182865031E-3</v>
      </c>
      <c r="M95" s="48">
        <v>3601.4732346534729</v>
      </c>
      <c r="N95" s="30">
        <f t="shared" si="14"/>
        <v>0</v>
      </c>
      <c r="O95" s="28">
        <v>27388.155299999999</v>
      </c>
      <c r="P95" s="33">
        <f t="shared" si="15"/>
        <v>5.1936820064543633E-4</v>
      </c>
      <c r="Q95" s="43">
        <v>32673</v>
      </c>
      <c r="R95" s="30">
        <f t="shared" si="16"/>
        <v>0</v>
      </c>
      <c r="S95" s="28">
        <v>27438.7264</v>
      </c>
      <c r="T95" s="33">
        <f t="shared" si="17"/>
        <v>2.3667859791335218E-3</v>
      </c>
      <c r="U95" s="44">
        <v>6534.6</v>
      </c>
      <c r="V95" s="30">
        <f t="shared" si="20"/>
        <v>1</v>
      </c>
      <c r="W95" s="28">
        <v>27373.938147000012</v>
      </c>
      <c r="X95" s="33">
        <f t="shared" si="11"/>
        <v>0</v>
      </c>
      <c r="Y95" s="48">
        <v>3607.9869649410248</v>
      </c>
    </row>
    <row r="96" spans="1:25" x14ac:dyDescent="0.35">
      <c r="A96" s="7" t="s">
        <v>15</v>
      </c>
      <c r="B96" t="s">
        <v>114</v>
      </c>
      <c r="C96">
        <v>1000</v>
      </c>
      <c r="D96">
        <v>1000</v>
      </c>
      <c r="E96" s="26">
        <v>22254.774653000099</v>
      </c>
      <c r="F96" s="30">
        <f t="shared" si="18"/>
        <v>0</v>
      </c>
      <c r="G96">
        <v>22313.260466999989</v>
      </c>
      <c r="H96" s="33">
        <f t="shared" si="12"/>
        <v>2.6280119620086212E-3</v>
      </c>
      <c r="I96" s="48">
        <v>3606.9</v>
      </c>
      <c r="J96" s="30">
        <f t="shared" si="19"/>
        <v>0</v>
      </c>
      <c r="K96">
        <v>22259.390534999999</v>
      </c>
      <c r="L96" s="33">
        <f t="shared" si="13"/>
        <v>2.0741086224738557E-4</v>
      </c>
      <c r="M96" s="48">
        <v>3605.6170959472661</v>
      </c>
      <c r="N96" s="30">
        <f t="shared" si="14"/>
        <v>0</v>
      </c>
      <c r="O96" s="28">
        <v>22296.102699999999</v>
      </c>
      <c r="P96" s="33">
        <f t="shared" si="15"/>
        <v>1.8570418098720009E-3</v>
      </c>
      <c r="Q96" s="43">
        <v>67038</v>
      </c>
      <c r="R96" s="30">
        <f t="shared" si="16"/>
        <v>0</v>
      </c>
      <c r="S96" s="28">
        <v>22357.215560000001</v>
      </c>
      <c r="T96" s="33">
        <f t="shared" si="17"/>
        <v>4.6030979238018115E-3</v>
      </c>
      <c r="U96" s="44">
        <v>13407.6</v>
      </c>
      <c r="V96" s="30">
        <f t="shared" si="20"/>
        <v>1</v>
      </c>
      <c r="W96" s="28">
        <v>22254.774653000099</v>
      </c>
      <c r="X96" s="33">
        <f t="shared" si="11"/>
        <v>0</v>
      </c>
      <c r="Y96" s="48">
        <v>3605.6833806037898</v>
      </c>
    </row>
    <row r="97" spans="1:25" x14ac:dyDescent="0.35">
      <c r="A97" s="7" t="s">
        <v>16</v>
      </c>
      <c r="B97" t="s">
        <v>114</v>
      </c>
      <c r="C97">
        <v>1000</v>
      </c>
      <c r="D97">
        <v>1000</v>
      </c>
      <c r="E97" s="26">
        <v>22226.661025000009</v>
      </c>
      <c r="F97" s="30">
        <f t="shared" si="18"/>
        <v>0</v>
      </c>
      <c r="G97">
        <v>22242.929147999999</v>
      </c>
      <c r="H97" s="33">
        <f t="shared" si="12"/>
        <v>7.3191933694821492E-4</v>
      </c>
      <c r="I97" s="48">
        <v>3607.3</v>
      </c>
      <c r="J97" s="30">
        <f t="shared" si="19"/>
        <v>1</v>
      </c>
      <c r="K97">
        <v>22226.66102500003</v>
      </c>
      <c r="L97" s="33">
        <f t="shared" si="13"/>
        <v>9.8205811561164387E-16</v>
      </c>
      <c r="M97" s="48">
        <v>3599.9890024662018</v>
      </c>
      <c r="N97" s="30">
        <f t="shared" si="14"/>
        <v>1</v>
      </c>
      <c r="O97" s="28">
        <v>22227.9097</v>
      </c>
      <c r="P97" s="33">
        <f t="shared" si="15"/>
        <v>5.6179153431419871E-5</v>
      </c>
      <c r="Q97" s="43">
        <v>15010</v>
      </c>
      <c r="R97" s="30">
        <f t="shared" si="16"/>
        <v>0</v>
      </c>
      <c r="S97" s="28">
        <v>22230.265200000002</v>
      </c>
      <c r="T97" s="33">
        <f t="shared" si="17"/>
        <v>1.6215548506990014E-4</v>
      </c>
      <c r="U97" s="44">
        <v>3002</v>
      </c>
      <c r="V97" s="30">
        <f t="shared" si="20"/>
        <v>1</v>
      </c>
      <c r="W97" s="28">
        <v>22226.661025000009</v>
      </c>
      <c r="X97" s="33">
        <f t="shared" si="11"/>
        <v>0</v>
      </c>
      <c r="Y97" s="48">
        <v>3601.7127182483669</v>
      </c>
    </row>
    <row r="98" spans="1:25" x14ac:dyDescent="0.35">
      <c r="A98" s="7" t="s">
        <v>17</v>
      </c>
      <c r="B98" t="s">
        <v>114</v>
      </c>
      <c r="C98">
        <v>1000</v>
      </c>
      <c r="D98">
        <v>1000</v>
      </c>
      <c r="E98" s="26">
        <v>22745.274399999998</v>
      </c>
      <c r="F98" s="30">
        <f t="shared" si="18"/>
        <v>0</v>
      </c>
      <c r="G98">
        <v>22752.500560999961</v>
      </c>
      <c r="H98" s="33">
        <f t="shared" si="12"/>
        <v>3.1769944265707799E-4</v>
      </c>
      <c r="I98" s="48">
        <v>3601.4</v>
      </c>
      <c r="J98" s="30">
        <f t="shared" si="19"/>
        <v>0</v>
      </c>
      <c r="K98">
        <v>22755.431196000001</v>
      </c>
      <c r="L98" s="33">
        <f t="shared" si="13"/>
        <v>4.4654532723522309E-4</v>
      </c>
      <c r="M98" s="48">
        <v>3601.5683088302608</v>
      </c>
      <c r="N98" s="30">
        <f t="shared" si="14"/>
        <v>1</v>
      </c>
      <c r="O98" s="28">
        <v>22745.274399999998</v>
      </c>
      <c r="P98" s="33">
        <f t="shared" si="15"/>
        <v>0</v>
      </c>
      <c r="Q98" s="43">
        <v>44359</v>
      </c>
      <c r="R98" s="30">
        <f t="shared" si="16"/>
        <v>0</v>
      </c>
      <c r="S98" s="28">
        <v>22801.861059999999</v>
      </c>
      <c r="T98" s="33">
        <f t="shared" si="17"/>
        <v>2.4878424856461987E-3</v>
      </c>
      <c r="U98" s="44">
        <v>8871.7999999999993</v>
      </c>
      <c r="V98" s="30">
        <f t="shared" si="20"/>
        <v>0</v>
      </c>
      <c r="W98" s="28">
        <v>22759.647640999989</v>
      </c>
      <c r="X98" s="33">
        <f t="shared" ref="X98:X113" si="21">(W98-$E98)/$E98</f>
        <v>6.3192207520654188E-4</v>
      </c>
      <c r="Y98" s="48">
        <v>3609.0991907119751</v>
      </c>
    </row>
    <row r="99" spans="1:25" x14ac:dyDescent="0.35">
      <c r="A99" s="7" t="s">
        <v>18</v>
      </c>
      <c r="B99" t="s">
        <v>114</v>
      </c>
      <c r="C99">
        <v>1000</v>
      </c>
      <c r="D99">
        <v>1000</v>
      </c>
      <c r="E99" s="26">
        <v>22389.18858299981</v>
      </c>
      <c r="F99" s="30">
        <f t="shared" si="18"/>
        <v>0</v>
      </c>
      <c r="G99">
        <v>22421.932487999999</v>
      </c>
      <c r="H99" s="33">
        <f t="shared" si="12"/>
        <v>1.4624873464619927E-3</v>
      </c>
      <c r="I99" s="48">
        <v>3601.7</v>
      </c>
      <c r="J99" s="30">
        <f t="shared" si="19"/>
        <v>1</v>
      </c>
      <c r="K99">
        <v>22389.18858299981</v>
      </c>
      <c r="L99" s="33">
        <f t="shared" si="13"/>
        <v>0</v>
      </c>
      <c r="M99" s="48">
        <v>3602.609805822372</v>
      </c>
      <c r="N99" s="30">
        <f t="shared" si="14"/>
        <v>0</v>
      </c>
      <c r="O99" s="28">
        <v>22404.932799999999</v>
      </c>
      <c r="P99" s="33">
        <f t="shared" si="15"/>
        <v>7.0320623464413068E-4</v>
      </c>
      <c r="Q99" s="43">
        <v>19671</v>
      </c>
      <c r="R99" s="30">
        <f t="shared" si="16"/>
        <v>0</v>
      </c>
      <c r="S99" s="28">
        <v>22420.63824</v>
      </c>
      <c r="T99" s="33">
        <f t="shared" si="17"/>
        <v>1.4046805172774344E-3</v>
      </c>
      <c r="U99" s="44">
        <v>3934.2</v>
      </c>
      <c r="V99" s="30">
        <f t="shared" si="20"/>
        <v>0</v>
      </c>
      <c r="W99" s="28">
        <v>22411.740679999999</v>
      </c>
      <c r="X99" s="33">
        <f t="shared" si="21"/>
        <v>1.0072762090767701E-3</v>
      </c>
      <c r="Y99" s="48">
        <v>3602.2425742149348</v>
      </c>
    </row>
    <row r="100" spans="1:25" x14ac:dyDescent="0.35">
      <c r="A100" s="7" t="s">
        <v>19</v>
      </c>
      <c r="B100" t="s">
        <v>114</v>
      </c>
      <c r="C100">
        <v>1000</v>
      </c>
      <c r="D100">
        <v>1000</v>
      </c>
      <c r="E100" s="26">
        <v>22687.945366</v>
      </c>
      <c r="F100" s="30">
        <f t="shared" si="18"/>
        <v>0</v>
      </c>
      <c r="G100">
        <v>22691.108446999999</v>
      </c>
      <c r="H100" s="33">
        <f t="shared" si="12"/>
        <v>1.3941681139354977E-4</v>
      </c>
      <c r="I100" s="48">
        <v>3603.9</v>
      </c>
      <c r="J100" s="30">
        <f t="shared" si="19"/>
        <v>1</v>
      </c>
      <c r="K100">
        <v>22687.945366</v>
      </c>
      <c r="L100" s="33">
        <f t="shared" si="13"/>
        <v>0</v>
      </c>
      <c r="M100" s="48">
        <v>3601.197580814362</v>
      </c>
      <c r="N100" s="30">
        <f t="shared" si="14"/>
        <v>0</v>
      </c>
      <c r="O100" s="28">
        <v>22691.5906</v>
      </c>
      <c r="P100" s="33">
        <f t="shared" si="15"/>
        <v>1.6066831708182536E-4</v>
      </c>
      <c r="Q100" s="43">
        <v>46654</v>
      </c>
      <c r="R100" s="30">
        <f t="shared" si="16"/>
        <v>0</v>
      </c>
      <c r="S100" s="28">
        <v>22762.649819999999</v>
      </c>
      <c r="T100" s="33">
        <f t="shared" si="17"/>
        <v>3.2926936659478383E-3</v>
      </c>
      <c r="U100" s="44">
        <v>9330.7999999999993</v>
      </c>
      <c r="V100" s="30">
        <f t="shared" si="20"/>
        <v>1</v>
      </c>
      <c r="W100" s="28">
        <v>22687.945366</v>
      </c>
      <c r="X100" s="33">
        <f t="shared" si="21"/>
        <v>0</v>
      </c>
      <c r="Y100" s="48">
        <v>3586.6625204086299</v>
      </c>
    </row>
    <row r="101" spans="1:25" x14ac:dyDescent="0.35">
      <c r="A101" s="7" t="s">
        <v>20</v>
      </c>
      <c r="B101" t="s">
        <v>114</v>
      </c>
      <c r="C101">
        <v>1000</v>
      </c>
      <c r="D101">
        <v>1000</v>
      </c>
      <c r="E101" s="26">
        <v>21386.681902</v>
      </c>
      <c r="F101" s="30">
        <f t="shared" si="18"/>
        <v>1</v>
      </c>
      <c r="G101">
        <v>21387.98355999999</v>
      </c>
      <c r="H101" s="33">
        <f t="shared" si="12"/>
        <v>6.0863017739450083E-5</v>
      </c>
      <c r="I101" s="48">
        <v>3601.1</v>
      </c>
      <c r="J101" s="30">
        <f t="shared" si="19"/>
        <v>1</v>
      </c>
      <c r="K101">
        <v>21386.681902</v>
      </c>
      <c r="L101" s="33">
        <f t="shared" si="13"/>
        <v>0</v>
      </c>
      <c r="M101" s="48">
        <v>3599.4506447315221</v>
      </c>
      <c r="N101" s="30">
        <f t="shared" si="14"/>
        <v>1</v>
      </c>
      <c r="O101" s="28">
        <v>21387.394</v>
      </c>
      <c r="P101" s="33">
        <f t="shared" si="15"/>
        <v>3.3296329148346119E-5</v>
      </c>
      <c r="Q101" s="43">
        <v>18553</v>
      </c>
      <c r="R101" s="30">
        <f t="shared" si="16"/>
        <v>0</v>
      </c>
      <c r="S101" s="28">
        <v>21409.148560000001</v>
      </c>
      <c r="T101" s="33">
        <f t="shared" si="17"/>
        <v>1.0504975995317999E-3</v>
      </c>
      <c r="U101" s="44">
        <v>3710.6</v>
      </c>
      <c r="V101" s="30">
        <f t="shared" si="20"/>
        <v>1</v>
      </c>
      <c r="W101" s="28">
        <v>21386.942379</v>
      </c>
      <c r="X101" s="33">
        <f t="shared" si="21"/>
        <v>1.2179402171565986E-5</v>
      </c>
      <c r="Y101" s="48">
        <v>3099.1376903057098</v>
      </c>
    </row>
    <row r="102" spans="1:25" x14ac:dyDescent="0.35">
      <c r="A102" s="7" t="s">
        <v>21</v>
      </c>
      <c r="B102" t="s">
        <v>114</v>
      </c>
      <c r="C102">
        <v>1000</v>
      </c>
      <c r="D102">
        <v>1000</v>
      </c>
      <c r="E102" s="26">
        <v>21233.765012</v>
      </c>
      <c r="F102" s="30">
        <f t="shared" si="18"/>
        <v>1</v>
      </c>
      <c r="G102">
        <v>21233.765012</v>
      </c>
      <c r="H102" s="33">
        <f t="shared" si="12"/>
        <v>0</v>
      </c>
      <c r="I102" s="48">
        <v>3606.7</v>
      </c>
      <c r="J102" s="30">
        <f t="shared" si="19"/>
        <v>1</v>
      </c>
      <c r="K102">
        <v>21233.76501800006</v>
      </c>
      <c r="L102" s="33">
        <f t="shared" si="13"/>
        <v>2.825716605361597E-10</v>
      </c>
      <c r="M102" s="48">
        <v>3599.9432911872859</v>
      </c>
      <c r="N102" s="30">
        <f t="shared" si="14"/>
        <v>0</v>
      </c>
      <c r="O102" s="28">
        <v>21244.3305</v>
      </c>
      <c r="P102" s="33">
        <f t="shared" si="15"/>
        <v>4.9757958581670423E-4</v>
      </c>
      <c r="Q102" s="43">
        <v>39620</v>
      </c>
      <c r="R102" s="30">
        <f t="shared" si="16"/>
        <v>0</v>
      </c>
      <c r="S102" s="28">
        <v>21271.615300000001</v>
      </c>
      <c r="T102" s="33">
        <f t="shared" si="17"/>
        <v>1.7825518921684796E-3</v>
      </c>
      <c r="U102" s="44">
        <v>7924</v>
      </c>
      <c r="V102" s="30">
        <f t="shared" si="20"/>
        <v>1</v>
      </c>
      <c r="W102" s="28">
        <v>21233.765012</v>
      </c>
      <c r="X102" s="33">
        <f t="shared" si="21"/>
        <v>0</v>
      </c>
      <c r="Y102" s="48">
        <v>3606.2094430923462</v>
      </c>
    </row>
    <row r="103" spans="1:25" x14ac:dyDescent="0.35">
      <c r="A103" s="7" t="s">
        <v>22</v>
      </c>
      <c r="B103" t="s">
        <v>114</v>
      </c>
      <c r="C103">
        <v>1000</v>
      </c>
      <c r="D103">
        <v>1000</v>
      </c>
      <c r="E103" s="26">
        <v>20752.9185</v>
      </c>
      <c r="F103" s="30">
        <f t="shared" si="18"/>
        <v>1</v>
      </c>
      <c r="G103">
        <v>20752.918505000001</v>
      </c>
      <c r="H103" s="33">
        <f t="shared" si="12"/>
        <v>2.4093005003989097E-10</v>
      </c>
      <c r="I103" s="48">
        <v>3366.1</v>
      </c>
      <c r="J103" s="30">
        <f t="shared" si="19"/>
        <v>1</v>
      </c>
      <c r="K103">
        <v>20752.918505000001</v>
      </c>
      <c r="L103" s="33">
        <f t="shared" si="13"/>
        <v>2.4093005003989097E-10</v>
      </c>
      <c r="M103" s="48">
        <v>3599.8934288024898</v>
      </c>
      <c r="N103" s="30">
        <f t="shared" si="14"/>
        <v>1</v>
      </c>
      <c r="O103" s="28">
        <v>20752.9185</v>
      </c>
      <c r="P103" s="33">
        <f t="shared" si="15"/>
        <v>0</v>
      </c>
      <c r="Q103" s="43">
        <v>63865</v>
      </c>
      <c r="R103" s="30">
        <f t="shared" si="16"/>
        <v>1</v>
      </c>
      <c r="S103" s="28">
        <v>20754.880659999999</v>
      </c>
      <c r="T103" s="33">
        <f t="shared" si="17"/>
        <v>9.4548629389120875E-5</v>
      </c>
      <c r="U103" s="44">
        <v>12773</v>
      </c>
      <c r="V103" s="30">
        <f t="shared" si="20"/>
        <v>1</v>
      </c>
      <c r="W103" s="28">
        <v>20752.918505000001</v>
      </c>
      <c r="X103" s="33">
        <f t="shared" si="21"/>
        <v>2.4093005003989097E-10</v>
      </c>
      <c r="Y103" s="48">
        <v>3607.9578011035919</v>
      </c>
    </row>
    <row r="104" spans="1:25" x14ac:dyDescent="0.35">
      <c r="A104" s="7" t="s">
        <v>23</v>
      </c>
      <c r="B104" t="s">
        <v>114</v>
      </c>
      <c r="C104">
        <v>1000</v>
      </c>
      <c r="D104">
        <v>1000</v>
      </c>
      <c r="E104" s="26">
        <v>20591.208069000058</v>
      </c>
      <c r="F104" s="30">
        <f t="shared" si="18"/>
        <v>0</v>
      </c>
      <c r="G104">
        <v>20596.08555700244</v>
      </c>
      <c r="H104" s="33">
        <f t="shared" si="12"/>
        <v>2.368723576604605E-4</v>
      </c>
      <c r="I104" s="48">
        <v>3609.3</v>
      </c>
      <c r="J104" s="30">
        <f t="shared" si="19"/>
        <v>1</v>
      </c>
      <c r="K104">
        <v>20591.208069000058</v>
      </c>
      <c r="L104" s="33">
        <f t="shared" si="13"/>
        <v>0</v>
      </c>
      <c r="M104" s="48">
        <v>3601.1515638828282</v>
      </c>
      <c r="N104" s="30">
        <f t="shared" si="14"/>
        <v>0</v>
      </c>
      <c r="O104" s="28">
        <v>20642.4457</v>
      </c>
      <c r="P104" s="33">
        <f t="shared" si="15"/>
        <v>2.4883256401590009E-3</v>
      </c>
      <c r="Q104" s="43">
        <v>9996</v>
      </c>
      <c r="R104" s="30">
        <f t="shared" si="16"/>
        <v>0</v>
      </c>
      <c r="S104" s="28">
        <v>20655.97906666667</v>
      </c>
      <c r="T104" s="33">
        <f t="shared" si="17"/>
        <v>3.1455656923852029E-3</v>
      </c>
      <c r="U104" s="44">
        <v>1999.2</v>
      </c>
      <c r="V104" s="30">
        <f t="shared" si="20"/>
        <v>1</v>
      </c>
      <c r="W104" s="28">
        <v>20591.623166000041</v>
      </c>
      <c r="X104" s="33">
        <f t="shared" si="21"/>
        <v>2.0158943496263606E-5</v>
      </c>
      <c r="Y104" s="48">
        <v>3603.55851817131</v>
      </c>
    </row>
    <row r="105" spans="1:25" x14ac:dyDescent="0.35">
      <c r="A105" s="7" t="s">
        <v>24</v>
      </c>
      <c r="B105" t="s">
        <v>114</v>
      </c>
      <c r="C105">
        <v>1000</v>
      </c>
      <c r="D105">
        <v>1000</v>
      </c>
      <c r="E105" s="26">
        <v>51446.496599999999</v>
      </c>
      <c r="F105" s="30">
        <f t="shared" si="18"/>
        <v>0</v>
      </c>
      <c r="G105">
        <v>52516.659786000011</v>
      </c>
      <c r="H105" s="33">
        <f t="shared" si="12"/>
        <v>2.0801478365390046E-2</v>
      </c>
      <c r="I105" s="48">
        <v>3604.3</v>
      </c>
      <c r="J105" s="30">
        <f t="shared" si="19"/>
        <v>0</v>
      </c>
      <c r="K105">
        <v>51700.046918000007</v>
      </c>
      <c r="L105" s="33">
        <f t="shared" si="13"/>
        <v>4.9284272935313676E-3</v>
      </c>
      <c r="M105" s="48">
        <v>3604.7962141036992</v>
      </c>
      <c r="N105" s="30">
        <f t="shared" si="14"/>
        <v>1</v>
      </c>
      <c r="O105" s="28">
        <v>51446.496599999999</v>
      </c>
      <c r="P105" s="33">
        <f t="shared" si="15"/>
        <v>0</v>
      </c>
      <c r="Q105" s="43">
        <v>55728</v>
      </c>
      <c r="R105" s="30">
        <f t="shared" si="16"/>
        <v>0</v>
      </c>
      <c r="S105" s="28">
        <v>51475.436020000001</v>
      </c>
      <c r="T105" s="33">
        <f t="shared" si="17"/>
        <v>5.6251488269470288E-4</v>
      </c>
      <c r="U105" s="44">
        <v>11145.6</v>
      </c>
      <c r="V105" s="30">
        <f t="shared" si="20"/>
        <v>0</v>
      </c>
      <c r="W105" s="28">
        <v>51488.711291999949</v>
      </c>
      <c r="X105" s="33">
        <f t="shared" si="21"/>
        <v>8.2055523290871569E-4</v>
      </c>
      <c r="Y105" s="48">
        <v>3606.7004523277278</v>
      </c>
    </row>
    <row r="106" spans="1:25" x14ac:dyDescent="0.35">
      <c r="A106" s="7" t="s">
        <v>25</v>
      </c>
      <c r="B106" t="s">
        <v>114</v>
      </c>
      <c r="C106">
        <v>1000</v>
      </c>
      <c r="D106">
        <v>1000</v>
      </c>
      <c r="E106" s="26">
        <v>21598.530097999999</v>
      </c>
      <c r="F106" s="30">
        <f t="shared" si="18"/>
        <v>0</v>
      </c>
      <c r="G106">
        <v>21601.715493</v>
      </c>
      <c r="H106" s="33">
        <f t="shared" si="12"/>
        <v>1.4748202704291391E-4</v>
      </c>
      <c r="I106" s="48">
        <v>3610.7</v>
      </c>
      <c r="J106" s="30">
        <f t="shared" si="19"/>
        <v>0</v>
      </c>
      <c r="K106">
        <v>21602.24732799999</v>
      </c>
      <c r="L106" s="33">
        <f t="shared" si="13"/>
        <v>1.721056934488017E-4</v>
      </c>
      <c r="M106" s="48">
        <v>3601.6373333930969</v>
      </c>
      <c r="N106" s="30">
        <f t="shared" si="14"/>
        <v>0</v>
      </c>
      <c r="O106" s="28">
        <v>21613.164199999999</v>
      </c>
      <c r="P106" s="33">
        <f t="shared" si="15"/>
        <v>6.7755083024631784E-4</v>
      </c>
      <c r="Q106" s="43">
        <v>13308</v>
      </c>
      <c r="R106" s="30">
        <f t="shared" si="16"/>
        <v>0</v>
      </c>
      <c r="S106" s="28">
        <v>21615.709180000002</v>
      </c>
      <c r="T106" s="33">
        <f t="shared" si="17"/>
        <v>7.9538199692548277E-4</v>
      </c>
      <c r="U106" s="44">
        <v>2661.6</v>
      </c>
      <c r="V106" s="30">
        <f t="shared" si="20"/>
        <v>1</v>
      </c>
      <c r="W106" s="28">
        <v>21598.530097999999</v>
      </c>
      <c r="X106" s="33">
        <f t="shared" si="21"/>
        <v>0</v>
      </c>
      <c r="Y106" s="48">
        <v>3017.2761316299438</v>
      </c>
    </row>
    <row r="107" spans="1:25" x14ac:dyDescent="0.35">
      <c r="A107" s="7" t="s">
        <v>26</v>
      </c>
      <c r="B107" t="s">
        <v>114</v>
      </c>
      <c r="C107">
        <v>1000</v>
      </c>
      <c r="D107">
        <v>1000</v>
      </c>
      <c r="E107" s="26">
        <v>47922.16</v>
      </c>
      <c r="F107" s="30">
        <f t="shared" si="18"/>
        <v>0</v>
      </c>
      <c r="G107">
        <v>48667.398304000017</v>
      </c>
      <c r="H107" s="33">
        <f t="shared" si="12"/>
        <v>1.5551016565196835E-2</v>
      </c>
      <c r="I107" s="48">
        <v>3606</v>
      </c>
      <c r="J107" s="30">
        <f t="shared" si="19"/>
        <v>0</v>
      </c>
      <c r="K107">
        <v>48003.891454999997</v>
      </c>
      <c r="L107" s="33">
        <f t="shared" si="13"/>
        <v>1.7055044054774184E-3</v>
      </c>
      <c r="M107" s="48">
        <v>3602.464019536972</v>
      </c>
      <c r="N107" s="30">
        <f t="shared" si="14"/>
        <v>0</v>
      </c>
      <c r="O107" s="28">
        <v>47933.457600000002</v>
      </c>
      <c r="P107" s="33">
        <f t="shared" si="15"/>
        <v>2.3574897291770769E-4</v>
      </c>
      <c r="Q107" s="43">
        <v>45317</v>
      </c>
      <c r="R107" s="30">
        <f t="shared" si="16"/>
        <v>0</v>
      </c>
      <c r="S107" s="28">
        <v>47963.252359999999</v>
      </c>
      <c r="T107" s="33">
        <f t="shared" si="17"/>
        <v>8.5748138230820755E-4</v>
      </c>
      <c r="U107" s="44">
        <v>9063.4</v>
      </c>
      <c r="V107" s="30">
        <f t="shared" si="20"/>
        <v>0</v>
      </c>
      <c r="W107" s="28">
        <v>47934.543500999978</v>
      </c>
      <c r="X107" s="33">
        <f t="shared" si="21"/>
        <v>2.5840865687136775E-4</v>
      </c>
      <c r="Y107" s="48">
        <v>3604.7973506450649</v>
      </c>
    </row>
    <row r="108" spans="1:25" x14ac:dyDescent="0.35">
      <c r="A108" s="7" t="s">
        <v>27</v>
      </c>
      <c r="B108" t="s">
        <v>114</v>
      </c>
      <c r="C108">
        <v>1000</v>
      </c>
      <c r="D108">
        <v>1000</v>
      </c>
      <c r="E108" s="26">
        <v>49703.295299999998</v>
      </c>
      <c r="F108" s="30">
        <f t="shared" si="18"/>
        <v>0</v>
      </c>
      <c r="G108">
        <v>50315.306079999988</v>
      </c>
      <c r="H108" s="33">
        <f t="shared" si="12"/>
        <v>1.2313283783419279E-2</v>
      </c>
      <c r="I108" s="48">
        <v>3604.4</v>
      </c>
      <c r="J108" s="30">
        <f t="shared" si="19"/>
        <v>0</v>
      </c>
      <c r="K108">
        <v>49967.903460000001</v>
      </c>
      <c r="L108" s="33">
        <f t="shared" si="13"/>
        <v>5.3237548617828447E-3</v>
      </c>
      <c r="M108" s="48">
        <v>3604.4124839305882</v>
      </c>
      <c r="N108" s="30">
        <f t="shared" si="14"/>
        <v>1</v>
      </c>
      <c r="O108" s="28">
        <v>49703.295299999998</v>
      </c>
      <c r="P108" s="33">
        <f t="shared" si="15"/>
        <v>0</v>
      </c>
      <c r="Q108" s="43">
        <v>50321</v>
      </c>
      <c r="R108" s="30">
        <f t="shared" si="16"/>
        <v>0</v>
      </c>
      <c r="S108" s="28">
        <v>49804.293420000002</v>
      </c>
      <c r="T108" s="33">
        <f t="shared" si="17"/>
        <v>2.0320206012578775E-3</v>
      </c>
      <c r="U108" s="44">
        <v>10064.200000000001</v>
      </c>
      <c r="V108" s="30">
        <f t="shared" si="20"/>
        <v>0</v>
      </c>
      <c r="W108" s="28">
        <v>49852.000916999998</v>
      </c>
      <c r="X108" s="33">
        <f t="shared" si="21"/>
        <v>2.9918663561930799E-3</v>
      </c>
      <c r="Y108" s="48">
        <v>3602.6395604610439</v>
      </c>
    </row>
    <row r="109" spans="1:25" x14ac:dyDescent="0.35">
      <c r="A109" s="7" t="s">
        <v>28</v>
      </c>
      <c r="B109" t="s">
        <v>114</v>
      </c>
      <c r="C109">
        <v>1000</v>
      </c>
      <c r="D109">
        <v>1000</v>
      </c>
      <c r="E109" s="26">
        <v>51595.988100000002</v>
      </c>
      <c r="F109" s="30">
        <f t="shared" si="18"/>
        <v>0</v>
      </c>
      <c r="G109">
        <v>52852.210372000001</v>
      </c>
      <c r="H109" s="33">
        <f t="shared" si="12"/>
        <v>2.4347285869693404E-2</v>
      </c>
      <c r="I109" s="48">
        <v>3610.2</v>
      </c>
      <c r="J109" s="30">
        <f t="shared" si="19"/>
        <v>0</v>
      </c>
      <c r="K109">
        <v>51868.769362000006</v>
      </c>
      <c r="L109" s="33">
        <f t="shared" si="13"/>
        <v>5.2868696200045065E-3</v>
      </c>
      <c r="M109" s="48">
        <v>3604.0222778320308</v>
      </c>
      <c r="N109" s="30">
        <f t="shared" si="14"/>
        <v>1</v>
      </c>
      <c r="O109" s="28">
        <v>51595.988100000002</v>
      </c>
      <c r="P109" s="33">
        <f t="shared" si="15"/>
        <v>0</v>
      </c>
      <c r="Q109" s="43">
        <v>55831</v>
      </c>
      <c r="R109" s="30">
        <f t="shared" si="16"/>
        <v>0</v>
      </c>
      <c r="S109" s="28">
        <v>51681.429740000007</v>
      </c>
      <c r="T109" s="33">
        <f t="shared" si="17"/>
        <v>1.6559744884506737E-3</v>
      </c>
      <c r="U109" s="44">
        <v>11166.2</v>
      </c>
      <c r="V109" s="30">
        <f t="shared" si="20"/>
        <v>0</v>
      </c>
      <c r="W109" s="28">
        <v>51674.694694000013</v>
      </c>
      <c r="X109" s="33">
        <f t="shared" si="21"/>
        <v>1.5254401921224224E-3</v>
      </c>
      <c r="Y109" s="48">
        <v>3605.2410264015198</v>
      </c>
    </row>
    <row r="110" spans="1:25" x14ac:dyDescent="0.35">
      <c r="A110" s="7" t="s">
        <v>29</v>
      </c>
      <c r="B110" t="s">
        <v>114</v>
      </c>
      <c r="C110">
        <v>1000</v>
      </c>
      <c r="D110">
        <v>1000</v>
      </c>
      <c r="E110" s="26">
        <v>28067.428144000001</v>
      </c>
      <c r="F110" s="30">
        <f t="shared" si="18"/>
        <v>0</v>
      </c>
      <c r="G110">
        <v>28091.228898999991</v>
      </c>
      <c r="H110" s="33">
        <f t="shared" si="12"/>
        <v>8.4798489116564115E-4</v>
      </c>
      <c r="I110" s="48">
        <v>3609.6</v>
      </c>
      <c r="J110" s="30">
        <f t="shared" si="19"/>
        <v>0</v>
      </c>
      <c r="K110">
        <v>28120.666105</v>
      </c>
      <c r="L110" s="33">
        <f t="shared" si="13"/>
        <v>1.8967880037622767E-3</v>
      </c>
      <c r="M110" s="48">
        <v>3601.630774736404</v>
      </c>
      <c r="N110" s="30">
        <f t="shared" si="14"/>
        <v>0</v>
      </c>
      <c r="O110" s="28">
        <v>28104.5092</v>
      </c>
      <c r="P110" s="33">
        <f t="shared" si="15"/>
        <v>1.321141923291106E-3</v>
      </c>
      <c r="Q110" s="43">
        <v>19887</v>
      </c>
      <c r="R110" s="30">
        <f t="shared" si="16"/>
        <v>0</v>
      </c>
      <c r="S110" s="28">
        <v>28145.160039999999</v>
      </c>
      <c r="T110" s="33">
        <f t="shared" si="17"/>
        <v>2.7694698495777329E-3</v>
      </c>
      <c r="U110" s="44">
        <v>3977.4</v>
      </c>
      <c r="V110" s="30">
        <f t="shared" si="20"/>
        <v>1</v>
      </c>
      <c r="W110" s="28">
        <v>28067.428144000001</v>
      </c>
      <c r="X110" s="33">
        <f t="shared" si="21"/>
        <v>0</v>
      </c>
      <c r="Y110" s="48">
        <v>3602.3066563606262</v>
      </c>
    </row>
    <row r="111" spans="1:25" x14ac:dyDescent="0.35">
      <c r="A111" s="7" t="s">
        <v>30</v>
      </c>
      <c r="B111" t="s">
        <v>114</v>
      </c>
      <c r="C111">
        <v>1000</v>
      </c>
      <c r="D111">
        <v>1000</v>
      </c>
      <c r="E111" s="26">
        <v>27392.87281699989</v>
      </c>
      <c r="F111" s="30">
        <f t="shared" si="18"/>
        <v>0</v>
      </c>
      <c r="G111">
        <v>27409.128262000009</v>
      </c>
      <c r="H111" s="33">
        <f t="shared" si="12"/>
        <v>5.9341877388014851E-4</v>
      </c>
      <c r="I111" s="48">
        <v>3609.5</v>
      </c>
      <c r="J111" s="30">
        <f t="shared" si="19"/>
        <v>0</v>
      </c>
      <c r="K111">
        <v>27397.861560000001</v>
      </c>
      <c r="L111" s="33">
        <f t="shared" si="13"/>
        <v>1.8211828432302483E-4</v>
      </c>
      <c r="M111" s="48">
        <v>3601.6932394504552</v>
      </c>
      <c r="N111" s="30">
        <f t="shared" si="14"/>
        <v>0</v>
      </c>
      <c r="O111" s="28">
        <v>27397.3099</v>
      </c>
      <c r="P111" s="33">
        <f t="shared" si="15"/>
        <v>1.6197946924925005E-4</v>
      </c>
      <c r="Q111" s="43">
        <v>34846</v>
      </c>
      <c r="R111" s="30">
        <f t="shared" si="16"/>
        <v>0</v>
      </c>
      <c r="S111" s="28">
        <v>27445.905340000001</v>
      </c>
      <c r="T111" s="33">
        <f t="shared" si="17"/>
        <v>1.9359971243030441E-3</v>
      </c>
      <c r="U111" s="44">
        <v>6969.2</v>
      </c>
      <c r="V111" s="30">
        <f t="shared" si="20"/>
        <v>1</v>
      </c>
      <c r="W111" s="28">
        <v>27392.87281699989</v>
      </c>
      <c r="X111" s="33">
        <f t="shared" si="21"/>
        <v>0</v>
      </c>
      <c r="Y111" s="48">
        <v>3607.8605089187622</v>
      </c>
    </row>
    <row r="112" spans="1:25" x14ac:dyDescent="0.35">
      <c r="A112" s="7" t="s">
        <v>31</v>
      </c>
      <c r="B112" t="s">
        <v>114</v>
      </c>
      <c r="C112">
        <v>1000</v>
      </c>
      <c r="D112">
        <v>1000</v>
      </c>
      <c r="E112" s="26">
        <v>27532.416423999999</v>
      </c>
      <c r="F112" s="30">
        <f t="shared" si="18"/>
        <v>0</v>
      </c>
      <c r="G112">
        <v>27560.960864000001</v>
      </c>
      <c r="H112" s="33">
        <f t="shared" si="12"/>
        <v>1.0367575283046827E-3</v>
      </c>
      <c r="I112" s="48">
        <v>3617.4</v>
      </c>
      <c r="J112" s="30">
        <f t="shared" si="19"/>
        <v>1</v>
      </c>
      <c r="K112">
        <v>27532.416423999999</v>
      </c>
      <c r="L112" s="33">
        <f t="shared" si="13"/>
        <v>0</v>
      </c>
      <c r="M112" s="48">
        <v>3601.2879748344421</v>
      </c>
      <c r="N112" s="30">
        <f t="shared" si="14"/>
        <v>0</v>
      </c>
      <c r="O112" s="28">
        <v>27552.5157</v>
      </c>
      <c r="P112" s="33">
        <f t="shared" si="15"/>
        <v>7.3002222872382155E-4</v>
      </c>
      <c r="Q112" s="43">
        <v>24832</v>
      </c>
      <c r="R112" s="30">
        <f t="shared" si="16"/>
        <v>0</v>
      </c>
      <c r="S112" s="28">
        <v>27620.438259999999</v>
      </c>
      <c r="T112" s="33">
        <f t="shared" si="17"/>
        <v>3.1970254497266462E-3</v>
      </c>
      <c r="U112" s="44">
        <v>4966.3999999999996</v>
      </c>
      <c r="V112" s="30">
        <f t="shared" si="20"/>
        <v>0</v>
      </c>
      <c r="W112" s="28">
        <v>27576.797144</v>
      </c>
      <c r="X112" s="33">
        <f t="shared" si="21"/>
        <v>1.6119442375321026E-3</v>
      </c>
      <c r="Y112" s="48">
        <v>3601.749703168869</v>
      </c>
    </row>
    <row r="113" spans="1:25" ht="15" thickBot="1" x14ac:dyDescent="0.4">
      <c r="A113" s="8" t="s">
        <v>32</v>
      </c>
      <c r="B113" s="9" t="s">
        <v>114</v>
      </c>
      <c r="C113" s="9">
        <v>1000</v>
      </c>
      <c r="D113" s="9">
        <v>1000</v>
      </c>
      <c r="E113" s="27">
        <v>27037.202300000001</v>
      </c>
      <c r="F113" s="31">
        <f>IF(H113&lt;=0.0001,1,0)</f>
        <v>0</v>
      </c>
      <c r="G113" s="9">
        <v>27119.521048999999</v>
      </c>
      <c r="H113" s="34">
        <f t="shared" si="12"/>
        <v>3.0446474486007825E-3</v>
      </c>
      <c r="I113" s="49">
        <v>3608.9</v>
      </c>
      <c r="J113" s="31">
        <f>IF(L113&lt;=0.0001,1,0)</f>
        <v>0</v>
      </c>
      <c r="K113" s="9">
        <v>27120.953163000009</v>
      </c>
      <c r="L113" s="34">
        <f t="shared" si="13"/>
        <v>3.0976157248343845E-3</v>
      </c>
      <c r="M113" s="49">
        <v>3601.9695520401001</v>
      </c>
      <c r="N113" s="31">
        <f t="shared" si="14"/>
        <v>1</v>
      </c>
      <c r="O113" s="36">
        <v>27037.202300000001</v>
      </c>
      <c r="P113" s="34">
        <f t="shared" si="15"/>
        <v>0</v>
      </c>
      <c r="Q113" s="45">
        <v>29944</v>
      </c>
      <c r="R113" s="31">
        <f t="shared" si="16"/>
        <v>0</v>
      </c>
      <c r="S113" s="36">
        <v>27071.411680000001</v>
      </c>
      <c r="T113" s="34">
        <f t="shared" si="17"/>
        <v>1.2652707044323234E-3</v>
      </c>
      <c r="U113" s="46">
        <v>5988.8</v>
      </c>
      <c r="V113" s="31">
        <f>IF(X113&lt;=0.0001,1,0)</f>
        <v>0</v>
      </c>
      <c r="W113" s="36">
        <v>27044.845122000788</v>
      </c>
      <c r="X113" s="34">
        <f t="shared" si="21"/>
        <v>2.8267798997780991E-4</v>
      </c>
      <c r="Y113" s="49">
        <v>3612.5488433837891</v>
      </c>
    </row>
    <row r="114" spans="1:25" x14ac:dyDescent="0.35">
      <c r="F114" s="30">
        <f>SUM(F2:F113)</f>
        <v>75</v>
      </c>
      <c r="H114" s="35">
        <f>AVERAGE(H2:H113)</f>
        <v>1.2672001222839271E-3</v>
      </c>
      <c r="I114" s="50">
        <v>1887.1116071428569</v>
      </c>
      <c r="J114" s="30">
        <f>SUM(J2:J113)</f>
        <v>84</v>
      </c>
      <c r="L114" s="35">
        <f>AVERAGE(L2:L113)</f>
        <v>3.9734034288569422E-4</v>
      </c>
      <c r="M114" s="50">
        <v>1834.2189177359853</v>
      </c>
      <c r="N114" s="30">
        <f>SUM(N2:N113)</f>
        <v>82</v>
      </c>
      <c r="P114" s="35">
        <f>AVERAGE(P2:P113)</f>
        <v>3.1393404577351668E-4</v>
      </c>
      <c r="Q114" s="47">
        <v>14861.553571428571</v>
      </c>
      <c r="R114" s="30">
        <f>SUM(R2:R113)</f>
        <v>62</v>
      </c>
      <c r="T114" s="35">
        <f>AVERAGE(T2:T113)</f>
        <v>8.644741074766651E-4</v>
      </c>
      <c r="U114" s="47">
        <v>2972.3107142857152</v>
      </c>
      <c r="V114" s="30">
        <f>SUM(V2:V113)</f>
        <v>86</v>
      </c>
      <c r="X114" s="35">
        <f>AVERAGE(X2:X113)</f>
        <v>3.1496001065283336E-4</v>
      </c>
      <c r="Y114" s="50">
        <v>1857.7083312464613</v>
      </c>
    </row>
  </sheetData>
  <sortState xmlns:xlrd2="http://schemas.microsoft.com/office/spreadsheetml/2017/richdata2" ref="A2:Z113">
    <sortCondition ref="B2:B11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6"/>
  <sheetViews>
    <sheetView workbookViewId="0">
      <selection activeCell="N418" sqref="N418"/>
    </sheetView>
  </sheetViews>
  <sheetFormatPr baseColWidth="10" defaultColWidth="8.7265625" defaultRowHeight="14.5" x14ac:dyDescent="0.35"/>
  <cols>
    <col min="1" max="1" width="13" bestFit="1" customWidth="1"/>
    <col min="22" max="22" width="9.1796875" bestFit="1" customWidth="1"/>
  </cols>
  <sheetData>
    <row r="1" spans="1:22" s="1" customFormat="1" ht="44" thickBot="1" x14ac:dyDescent="0.4">
      <c r="A1" s="2" t="s">
        <v>0</v>
      </c>
      <c r="B1" s="3" t="s">
        <v>119</v>
      </c>
      <c r="C1" s="3" t="s">
        <v>577</v>
      </c>
      <c r="D1" s="3" t="s">
        <v>120</v>
      </c>
      <c r="E1" s="3" t="s">
        <v>121</v>
      </c>
      <c r="F1" s="3" t="s">
        <v>131</v>
      </c>
      <c r="G1" s="6" t="s">
        <v>132</v>
      </c>
      <c r="H1" s="10" t="s">
        <v>122</v>
      </c>
      <c r="I1" s="4" t="s">
        <v>123</v>
      </c>
      <c r="J1" s="4" t="s">
        <v>124</v>
      </c>
      <c r="K1" s="4" t="s">
        <v>133</v>
      </c>
      <c r="L1" s="5" t="s">
        <v>584</v>
      </c>
      <c r="M1" s="10" t="s">
        <v>125</v>
      </c>
      <c r="N1" s="4" t="s">
        <v>126</v>
      </c>
      <c r="O1" s="4" t="s">
        <v>127</v>
      </c>
      <c r="P1" s="4" t="s">
        <v>134</v>
      </c>
      <c r="Q1" s="5" t="s">
        <v>582</v>
      </c>
      <c r="R1" s="10" t="s">
        <v>128</v>
      </c>
      <c r="S1" s="4" t="s">
        <v>129</v>
      </c>
      <c r="T1" s="4" t="s">
        <v>130</v>
      </c>
      <c r="U1" s="4" t="s">
        <v>135</v>
      </c>
      <c r="V1" s="5" t="s">
        <v>583</v>
      </c>
    </row>
    <row r="2" spans="1:22" x14ac:dyDescent="0.35">
      <c r="A2" s="19" t="s">
        <v>476</v>
      </c>
      <c r="B2" s="20" t="s">
        <v>568</v>
      </c>
      <c r="C2" s="20" t="s">
        <v>578</v>
      </c>
      <c r="D2" s="20">
        <v>800</v>
      </c>
      <c r="E2" s="20">
        <v>4400</v>
      </c>
      <c r="F2">
        <f t="shared" ref="F2:F65" si="0">MIN(I2,N2,S2)</f>
        <v>775501.67399700044</v>
      </c>
      <c r="G2" s="21">
        <v>750284.17475375941</v>
      </c>
      <c r="H2" s="7">
        <f t="shared" ref="H2:H65" si="1">IF(J2&lt;=0.0001,1,0)</f>
        <v>0</v>
      </c>
      <c r="I2">
        <v>783063.6717330002</v>
      </c>
      <c r="J2" s="11">
        <f t="shared" ref="J2:J65" si="2">(I2-$F2)/$F2</f>
        <v>9.7511043361448706E-3</v>
      </c>
      <c r="K2" s="11">
        <f t="shared" ref="K2:K65" si="3">(I2-$G2)/$G2</f>
        <v>4.3689442057069788E-2</v>
      </c>
      <c r="L2" s="22">
        <v>1621.05006313324</v>
      </c>
      <c r="M2" s="7" t="s">
        <v>561</v>
      </c>
      <c r="N2" t="s">
        <v>561</v>
      </c>
      <c r="O2" t="s">
        <v>561</v>
      </c>
      <c r="P2" t="s">
        <v>561</v>
      </c>
      <c r="Q2" s="24" t="s">
        <v>561</v>
      </c>
      <c r="R2" s="7">
        <f t="shared" ref="R2:R33" si="4">IF(T2&lt;=0.0001,1,0)</f>
        <v>1</v>
      </c>
      <c r="S2">
        <v>775501.67399700044</v>
      </c>
      <c r="T2" s="11">
        <f t="shared" ref="T2:T33" si="5">(S2-$F2)/$F2</f>
        <v>0</v>
      </c>
      <c r="U2" s="11">
        <f t="shared" ref="U2:U33" si="6">(S2-$G2)/$G2</f>
        <v>3.3610597280047033E-2</v>
      </c>
      <c r="V2" s="22">
        <v>7234.7328078746796</v>
      </c>
    </row>
    <row r="3" spans="1:22" x14ac:dyDescent="0.35">
      <c r="A3" s="14" t="s">
        <v>477</v>
      </c>
      <c r="B3" s="13" t="s">
        <v>568</v>
      </c>
      <c r="C3" s="13" t="s">
        <v>578</v>
      </c>
      <c r="D3" s="13">
        <v>800</v>
      </c>
      <c r="E3" s="13">
        <v>4400</v>
      </c>
      <c r="F3">
        <f t="shared" si="0"/>
        <v>462410.23666899919</v>
      </c>
      <c r="G3" s="15">
        <v>443072.15868058969</v>
      </c>
      <c r="H3" s="7">
        <f t="shared" si="1"/>
        <v>1</v>
      </c>
      <c r="I3">
        <v>462410.23666899919</v>
      </c>
      <c r="J3" s="11">
        <f t="shared" si="2"/>
        <v>0</v>
      </c>
      <c r="K3" s="11">
        <f t="shared" si="3"/>
        <v>4.3645437000590905E-2</v>
      </c>
      <c r="L3" s="22">
        <v>1042.26025390625</v>
      </c>
      <c r="M3" s="7">
        <f t="shared" ref="M3:M12" si="7">IF(O3&lt;=0.0001,1,0)</f>
        <v>0</v>
      </c>
      <c r="N3">
        <v>516653.48469699989</v>
      </c>
      <c r="O3" s="11">
        <f t="shared" ref="O3:O12" si="8">(N3-$F3)/$F3</f>
        <v>0.1173054654212357</v>
      </c>
      <c r="P3" s="11">
        <f t="shared" ref="P3:P12" si="9">(N3-$G3)/$G3</f>
        <v>0.16607075072269414</v>
      </c>
      <c r="Q3" s="22">
        <v>5410.2326548099409</v>
      </c>
      <c r="R3" s="7">
        <f t="shared" si="4"/>
        <v>0</v>
      </c>
      <c r="S3">
        <v>462698.70840099931</v>
      </c>
      <c r="T3" s="11">
        <f t="shared" si="5"/>
        <v>6.2384374117265625E-4</v>
      </c>
      <c r="U3" s="11">
        <f t="shared" si="6"/>
        <v>4.4296508674467126E-2</v>
      </c>
      <c r="V3" s="22">
        <v>7246.3045198917389</v>
      </c>
    </row>
    <row r="4" spans="1:22" x14ac:dyDescent="0.35">
      <c r="A4" s="14" t="s">
        <v>478</v>
      </c>
      <c r="B4" s="13" t="s">
        <v>568</v>
      </c>
      <c r="C4" s="13" t="s">
        <v>578</v>
      </c>
      <c r="D4" s="13">
        <v>800</v>
      </c>
      <c r="E4" s="13">
        <v>4400</v>
      </c>
      <c r="F4">
        <f t="shared" si="0"/>
        <v>296455.6008279993</v>
      </c>
      <c r="G4" s="15">
        <v>291325.37424710923</v>
      </c>
      <c r="H4" s="7">
        <f t="shared" si="1"/>
        <v>0</v>
      </c>
      <c r="I4">
        <v>305717.25922599912</v>
      </c>
      <c r="J4" s="11">
        <f t="shared" si="2"/>
        <v>3.124130012093565E-2</v>
      </c>
      <c r="K4" s="11">
        <f t="shared" si="3"/>
        <v>4.9401412479375552E-2</v>
      </c>
      <c r="L4" s="22">
        <v>681.8679051399231</v>
      </c>
      <c r="M4" s="7">
        <f t="shared" si="7"/>
        <v>1</v>
      </c>
      <c r="N4">
        <v>296455.6008279993</v>
      </c>
      <c r="O4" s="11">
        <f t="shared" si="8"/>
        <v>0</v>
      </c>
      <c r="P4" s="11">
        <f t="shared" si="9"/>
        <v>1.7609954485250188E-2</v>
      </c>
      <c r="Q4" s="22">
        <v>7216.4474394321442</v>
      </c>
      <c r="R4" s="7">
        <f t="shared" si="4"/>
        <v>0</v>
      </c>
      <c r="S4">
        <v>298581.38481399912</v>
      </c>
      <c r="T4" s="11">
        <f t="shared" si="5"/>
        <v>7.1706656243380601E-3</v>
      </c>
      <c r="U4" s="11">
        <f t="shared" si="6"/>
        <v>2.4906895204861789E-2</v>
      </c>
      <c r="V4" s="22">
        <v>7233.4131274223328</v>
      </c>
    </row>
    <row r="5" spans="1:22" x14ac:dyDescent="0.35">
      <c r="A5" s="14" t="s">
        <v>479</v>
      </c>
      <c r="B5" s="13" t="s">
        <v>568</v>
      </c>
      <c r="C5" s="13" t="s">
        <v>578</v>
      </c>
      <c r="D5" s="13">
        <v>800</v>
      </c>
      <c r="E5" s="13">
        <v>4400</v>
      </c>
      <c r="F5">
        <f t="shared" si="0"/>
        <v>299941.50457599922</v>
      </c>
      <c r="G5" s="15">
        <v>293046.716725028</v>
      </c>
      <c r="H5" s="7">
        <f t="shared" si="1"/>
        <v>0</v>
      </c>
      <c r="I5">
        <v>313190.40184499923</v>
      </c>
      <c r="J5" s="11">
        <f t="shared" si="2"/>
        <v>4.4171603685621313E-2</v>
      </c>
      <c r="K5" s="11">
        <f t="shared" si="3"/>
        <v>6.8738818660345119E-2</v>
      </c>
      <c r="L5" s="22">
        <v>653.20330595970154</v>
      </c>
      <c r="M5" s="7">
        <f t="shared" si="7"/>
        <v>0</v>
      </c>
      <c r="N5">
        <v>300389.41545199929</v>
      </c>
      <c r="O5" s="11">
        <f t="shared" si="8"/>
        <v>1.493327429404074E-3</v>
      </c>
      <c r="P5" s="11">
        <f t="shared" si="9"/>
        <v>2.5056410148628607E-2</v>
      </c>
      <c r="Q5" s="22">
        <v>7214.7150750160217</v>
      </c>
      <c r="R5" s="7">
        <f t="shared" si="4"/>
        <v>1</v>
      </c>
      <c r="S5">
        <v>299941.50457599922</v>
      </c>
      <c r="T5" s="11">
        <f t="shared" si="5"/>
        <v>0</v>
      </c>
      <c r="U5" s="11">
        <f t="shared" si="6"/>
        <v>2.3527947789432988E-2</v>
      </c>
      <c r="V5" s="22">
        <v>7226.1876721382141</v>
      </c>
    </row>
    <row r="6" spans="1:22" x14ac:dyDescent="0.35">
      <c r="A6" s="14" t="s">
        <v>480</v>
      </c>
      <c r="B6" s="13" t="s">
        <v>568</v>
      </c>
      <c r="C6" s="13" t="s">
        <v>578</v>
      </c>
      <c r="D6" s="13">
        <v>800</v>
      </c>
      <c r="E6" s="13">
        <v>4400</v>
      </c>
      <c r="F6">
        <f t="shared" si="0"/>
        <v>312229.68451299932</v>
      </c>
      <c r="G6" s="15">
        <v>305362.64562913188</v>
      </c>
      <c r="H6" s="7">
        <f t="shared" si="1"/>
        <v>0</v>
      </c>
      <c r="I6">
        <v>325893.54217599909</v>
      </c>
      <c r="J6" s="11">
        <f t="shared" si="2"/>
        <v>4.37621992422405E-2</v>
      </c>
      <c r="K6" s="11">
        <f t="shared" si="3"/>
        <v>6.7234472980700899E-2</v>
      </c>
      <c r="L6" s="22">
        <v>671.19006609916687</v>
      </c>
      <c r="M6" s="7">
        <f t="shared" si="7"/>
        <v>0</v>
      </c>
      <c r="N6">
        <v>317668.00613599923</v>
      </c>
      <c r="O6" s="11">
        <f t="shared" si="8"/>
        <v>1.7417695666836864E-2</v>
      </c>
      <c r="P6" s="11">
        <f t="shared" si="9"/>
        <v>4.0297530437997379E-2</v>
      </c>
      <c r="Q6" s="22">
        <v>7213.9498994350433</v>
      </c>
      <c r="R6" s="7">
        <f t="shared" si="4"/>
        <v>1</v>
      </c>
      <c r="S6">
        <v>312229.68451299932</v>
      </c>
      <c r="T6" s="11">
        <f t="shared" si="5"/>
        <v>0</v>
      </c>
      <c r="U6" s="11">
        <f t="shared" si="6"/>
        <v>2.2488143137872785E-2</v>
      </c>
      <c r="V6" s="22">
        <v>7222.8583471775046</v>
      </c>
    </row>
    <row r="7" spans="1:22" x14ac:dyDescent="0.35">
      <c r="A7" s="14" t="s">
        <v>481</v>
      </c>
      <c r="B7" s="13" t="s">
        <v>568</v>
      </c>
      <c r="C7" s="13" t="s">
        <v>578</v>
      </c>
      <c r="D7" s="13">
        <v>800</v>
      </c>
      <c r="E7" s="13">
        <v>4400</v>
      </c>
      <c r="F7">
        <f t="shared" si="0"/>
        <v>311561.55006499938</v>
      </c>
      <c r="G7" s="15">
        <v>305246.8169595931</v>
      </c>
      <c r="H7" s="7">
        <f t="shared" si="1"/>
        <v>0</v>
      </c>
      <c r="I7">
        <v>323244.42037599918</v>
      </c>
      <c r="J7" s="11">
        <f t="shared" si="2"/>
        <v>3.7497792357761954E-2</v>
      </c>
      <c r="K7" s="11">
        <f t="shared" si="3"/>
        <v>5.8960822575222817E-2</v>
      </c>
      <c r="L7" s="22">
        <v>653.02502608299255</v>
      </c>
      <c r="M7" s="7">
        <f t="shared" si="7"/>
        <v>0</v>
      </c>
      <c r="N7">
        <v>320308.1459929992</v>
      </c>
      <c r="O7" s="11">
        <f t="shared" si="8"/>
        <v>2.8073412544568053E-2</v>
      </c>
      <c r="P7" s="11">
        <f t="shared" si="9"/>
        <v>4.9341477770101817E-2</v>
      </c>
      <c r="Q7" s="22">
        <v>7237.9755516052246</v>
      </c>
      <c r="R7" s="7">
        <f t="shared" si="4"/>
        <v>1</v>
      </c>
      <c r="S7">
        <v>311561.55006499938</v>
      </c>
      <c r="T7" s="11">
        <f t="shared" si="5"/>
        <v>0</v>
      </c>
      <c r="U7" s="11">
        <f t="shared" si="6"/>
        <v>2.0687302060359212E-2</v>
      </c>
      <c r="V7" s="22">
        <v>7224.40451836586</v>
      </c>
    </row>
    <row r="8" spans="1:22" x14ac:dyDescent="0.35">
      <c r="A8" s="14" t="s">
        <v>482</v>
      </c>
      <c r="B8" s="13" t="s">
        <v>568</v>
      </c>
      <c r="C8" s="13" t="s">
        <v>578</v>
      </c>
      <c r="D8" s="13">
        <v>800</v>
      </c>
      <c r="E8" s="13">
        <v>4400</v>
      </c>
      <c r="F8">
        <f t="shared" si="0"/>
        <v>287976.89441699971</v>
      </c>
      <c r="G8" s="15">
        <v>283602.98240214807</v>
      </c>
      <c r="H8" s="7">
        <f t="shared" si="1"/>
        <v>0</v>
      </c>
      <c r="I8">
        <v>301280.86545099941</v>
      </c>
      <c r="J8" s="11">
        <f t="shared" si="2"/>
        <v>4.6198050232235374E-2</v>
      </c>
      <c r="K8" s="11">
        <f t="shared" si="3"/>
        <v>6.2333205734007954E-2</v>
      </c>
      <c r="L8" s="22">
        <v>642.60921907424927</v>
      </c>
      <c r="M8" s="7">
        <f t="shared" si="7"/>
        <v>1</v>
      </c>
      <c r="N8">
        <v>287976.89441699971</v>
      </c>
      <c r="O8" s="11">
        <f t="shared" si="8"/>
        <v>0</v>
      </c>
      <c r="P8" s="11">
        <f t="shared" si="9"/>
        <v>1.5422658738649812E-2</v>
      </c>
      <c r="Q8" s="22">
        <v>7248.8556175231934</v>
      </c>
      <c r="R8" s="7">
        <f t="shared" si="4"/>
        <v>0</v>
      </c>
      <c r="S8">
        <v>289583.04516199947</v>
      </c>
      <c r="T8" s="11">
        <f t="shared" si="5"/>
        <v>5.5773597678777714E-3</v>
      </c>
      <c r="U8" s="11">
        <f t="shared" si="6"/>
        <v>2.1086036222890236E-2</v>
      </c>
      <c r="V8" s="22">
        <v>7225.1945796012878</v>
      </c>
    </row>
    <row r="9" spans="1:22" x14ac:dyDescent="0.35">
      <c r="A9" s="14" t="s">
        <v>483</v>
      </c>
      <c r="B9" s="13" t="s">
        <v>568</v>
      </c>
      <c r="C9" s="13" t="s">
        <v>578</v>
      </c>
      <c r="D9" s="13">
        <v>800</v>
      </c>
      <c r="E9" s="13">
        <v>4400</v>
      </c>
      <c r="F9">
        <f t="shared" si="0"/>
        <v>102050.76009300011</v>
      </c>
      <c r="G9" s="15">
        <v>100625.3990778587</v>
      </c>
      <c r="H9" s="7">
        <f t="shared" si="1"/>
        <v>0</v>
      </c>
      <c r="I9">
        <v>104883.8219400001</v>
      </c>
      <c r="J9" s="11">
        <f t="shared" si="2"/>
        <v>2.776130079205864E-2</v>
      </c>
      <c r="K9" s="11">
        <f t="shared" si="3"/>
        <v>4.2319562467985315E-2</v>
      </c>
      <c r="L9" s="22">
        <v>663.09045195579529</v>
      </c>
      <c r="M9" s="7">
        <f t="shared" si="7"/>
        <v>0</v>
      </c>
      <c r="N9">
        <v>102101.2566020001</v>
      </c>
      <c r="O9" s="11">
        <f t="shared" si="8"/>
        <v>4.948175687664797E-4</v>
      </c>
      <c r="P9" s="11">
        <f t="shared" si="9"/>
        <v>1.466684890361976E-2</v>
      </c>
      <c r="Q9" s="22">
        <v>7213.3469157218933</v>
      </c>
      <c r="R9" s="7">
        <f t="shared" si="4"/>
        <v>1</v>
      </c>
      <c r="S9">
        <v>102050.76009300011</v>
      </c>
      <c r="T9" s="11">
        <f t="shared" si="5"/>
        <v>0</v>
      </c>
      <c r="U9" s="11">
        <f t="shared" si="6"/>
        <v>1.416502223299043E-2</v>
      </c>
      <c r="V9" s="22">
        <v>7238.2451364994049</v>
      </c>
    </row>
    <row r="10" spans="1:22" x14ac:dyDescent="0.35">
      <c r="A10" s="14" t="s">
        <v>484</v>
      </c>
      <c r="B10" s="13" t="s">
        <v>568</v>
      </c>
      <c r="C10" s="13" t="s">
        <v>578</v>
      </c>
      <c r="D10" s="13">
        <v>800</v>
      </c>
      <c r="E10" s="13">
        <v>4400</v>
      </c>
      <c r="F10">
        <f t="shared" si="0"/>
        <v>101255.99322</v>
      </c>
      <c r="G10" s="15">
        <v>99929.716146994964</v>
      </c>
      <c r="H10" s="7">
        <f t="shared" si="1"/>
        <v>0</v>
      </c>
      <c r="I10">
        <v>104585.6732120001</v>
      </c>
      <c r="J10" s="11">
        <f t="shared" si="2"/>
        <v>3.2883781849491714E-2</v>
      </c>
      <c r="K10" s="11">
        <f t="shared" si="3"/>
        <v>4.6592317526012943E-2</v>
      </c>
      <c r="L10" s="22">
        <v>645.54410600662231</v>
      </c>
      <c r="M10" s="7">
        <f t="shared" si="7"/>
        <v>0</v>
      </c>
      <c r="N10">
        <v>101581.6545380001</v>
      </c>
      <c r="O10" s="11">
        <f t="shared" si="8"/>
        <v>3.2162177037020666E-3</v>
      </c>
      <c r="P10" s="11">
        <f t="shared" si="9"/>
        <v>1.6531002535573762E-2</v>
      </c>
      <c r="Q10" s="22">
        <v>7231.2013716697693</v>
      </c>
      <c r="R10" s="7">
        <f t="shared" si="4"/>
        <v>1</v>
      </c>
      <c r="S10">
        <v>101255.99322</v>
      </c>
      <c r="T10" s="11">
        <f t="shared" si="5"/>
        <v>0</v>
      </c>
      <c r="U10" s="11">
        <f t="shared" si="6"/>
        <v>1.3272098872512636E-2</v>
      </c>
      <c r="V10" s="22">
        <v>7213.8455185890198</v>
      </c>
    </row>
    <row r="11" spans="1:22" x14ac:dyDescent="0.35">
      <c r="A11" s="14" t="s">
        <v>485</v>
      </c>
      <c r="B11" s="13" t="s">
        <v>568</v>
      </c>
      <c r="C11" s="13" t="s">
        <v>578</v>
      </c>
      <c r="D11" s="13">
        <v>800</v>
      </c>
      <c r="E11" s="13">
        <v>4400</v>
      </c>
      <c r="F11">
        <f t="shared" si="0"/>
        <v>105553.92071400001</v>
      </c>
      <c r="G11" s="15">
        <v>103899.8291114192</v>
      </c>
      <c r="H11" s="7">
        <f t="shared" si="1"/>
        <v>0</v>
      </c>
      <c r="I11">
        <v>110784.180157</v>
      </c>
      <c r="J11" s="11">
        <f t="shared" si="2"/>
        <v>4.9550593740344873E-2</v>
      </c>
      <c r="K11" s="11">
        <f t="shared" si="3"/>
        <v>6.6259503066152484E-2</v>
      </c>
      <c r="L11" s="22">
        <v>700.5217821598053</v>
      </c>
      <c r="M11" s="7">
        <f t="shared" si="7"/>
        <v>0</v>
      </c>
      <c r="N11">
        <v>105788.470955</v>
      </c>
      <c r="O11" s="11">
        <f t="shared" si="8"/>
        <v>2.2220893303954805E-3</v>
      </c>
      <c r="P11" s="11">
        <f t="shared" si="9"/>
        <v>1.817752598568257E-2</v>
      </c>
      <c r="Q11" s="22">
        <v>7215.5242075920096</v>
      </c>
      <c r="R11" s="7">
        <f t="shared" si="4"/>
        <v>1</v>
      </c>
      <c r="S11">
        <v>105553.92071400001</v>
      </c>
      <c r="T11" s="11">
        <f t="shared" si="5"/>
        <v>0</v>
      </c>
      <c r="U11" s="11">
        <f t="shared" si="6"/>
        <v>1.5920060857915471E-2</v>
      </c>
      <c r="V11" s="22">
        <v>7361.4952309131622</v>
      </c>
    </row>
    <row r="12" spans="1:22" x14ac:dyDescent="0.35">
      <c r="A12" s="14" t="s">
        <v>486</v>
      </c>
      <c r="B12" s="13" t="s">
        <v>568</v>
      </c>
      <c r="C12" s="13" t="s">
        <v>578</v>
      </c>
      <c r="D12" s="13">
        <v>800</v>
      </c>
      <c r="E12" s="13">
        <v>4400</v>
      </c>
      <c r="F12">
        <f t="shared" si="0"/>
        <v>106265.89912</v>
      </c>
      <c r="G12" s="15">
        <v>104687.1761600662</v>
      </c>
      <c r="H12" s="7">
        <f t="shared" si="1"/>
        <v>0</v>
      </c>
      <c r="I12">
        <v>110419.973469</v>
      </c>
      <c r="J12" s="11">
        <f t="shared" si="2"/>
        <v>3.9091320766119368E-2</v>
      </c>
      <c r="K12" s="11">
        <f t="shared" si="3"/>
        <v>5.4761218319313389E-2</v>
      </c>
      <c r="L12" s="22">
        <v>634.04664206504822</v>
      </c>
      <c r="M12" s="7">
        <f t="shared" si="7"/>
        <v>0</v>
      </c>
      <c r="N12">
        <v>106301.218481</v>
      </c>
      <c r="O12" s="11">
        <f t="shared" si="8"/>
        <v>3.3236778018616797E-4</v>
      </c>
      <c r="P12" s="11">
        <f t="shared" si="9"/>
        <v>1.5417765385761681E-2</v>
      </c>
      <c r="Q12" s="22">
        <v>7213.9795577526093</v>
      </c>
      <c r="R12" s="7">
        <f t="shared" si="4"/>
        <v>1</v>
      </c>
      <c r="S12">
        <v>106265.89912</v>
      </c>
      <c r="T12" s="11">
        <f t="shared" si="5"/>
        <v>0</v>
      </c>
      <c r="U12" s="11">
        <f t="shared" si="6"/>
        <v>1.5080385371365281E-2</v>
      </c>
      <c r="V12" s="22">
        <v>7215.285619020462</v>
      </c>
    </row>
    <row r="13" spans="1:22" x14ac:dyDescent="0.35">
      <c r="A13" s="14" t="s">
        <v>487</v>
      </c>
      <c r="B13" s="13" t="s">
        <v>568</v>
      </c>
      <c r="C13" s="13" t="s">
        <v>578</v>
      </c>
      <c r="D13" s="13">
        <v>800</v>
      </c>
      <c r="E13" s="13">
        <v>4400</v>
      </c>
      <c r="F13">
        <f t="shared" si="0"/>
        <v>773572.97734600003</v>
      </c>
      <c r="G13" s="15">
        <v>747671.77085061569</v>
      </c>
      <c r="H13" s="7">
        <f t="shared" si="1"/>
        <v>0</v>
      </c>
      <c r="I13">
        <v>787699.48108399997</v>
      </c>
      <c r="J13" s="11">
        <f t="shared" si="2"/>
        <v>1.8261371779642072E-2</v>
      </c>
      <c r="K13" s="11">
        <f t="shared" si="3"/>
        <v>5.3536473883246005E-2</v>
      </c>
      <c r="L13" s="22">
        <v>1222.6702649593351</v>
      </c>
      <c r="M13" s="7" t="s">
        <v>561</v>
      </c>
      <c r="N13" t="s">
        <v>561</v>
      </c>
      <c r="O13" t="s">
        <v>561</v>
      </c>
      <c r="P13" t="s">
        <v>561</v>
      </c>
      <c r="Q13" s="24" t="s">
        <v>561</v>
      </c>
      <c r="R13" s="7">
        <f t="shared" si="4"/>
        <v>1</v>
      </c>
      <c r="S13">
        <v>773572.97734600003</v>
      </c>
      <c r="T13" s="11">
        <f t="shared" si="5"/>
        <v>0</v>
      </c>
      <c r="U13" s="11">
        <f t="shared" si="6"/>
        <v>3.4642482845001488E-2</v>
      </c>
      <c r="V13" s="22">
        <v>7238.0149579048157</v>
      </c>
    </row>
    <row r="14" spans="1:22" x14ac:dyDescent="0.35">
      <c r="A14" s="14" t="s">
        <v>488</v>
      </c>
      <c r="B14" s="13" t="s">
        <v>568</v>
      </c>
      <c r="C14" s="13" t="s">
        <v>578</v>
      </c>
      <c r="D14" s="13">
        <v>800</v>
      </c>
      <c r="E14" s="13">
        <v>4400</v>
      </c>
      <c r="F14">
        <f t="shared" si="0"/>
        <v>104129.257656</v>
      </c>
      <c r="G14" s="15">
        <v>102444.52019756151</v>
      </c>
      <c r="H14" s="7">
        <f t="shared" si="1"/>
        <v>0</v>
      </c>
      <c r="I14">
        <v>107568.511174</v>
      </c>
      <c r="J14" s="11">
        <f t="shared" si="2"/>
        <v>3.3028695252604878E-2</v>
      </c>
      <c r="K14" s="11">
        <f t="shared" si="3"/>
        <v>5.0017228511168924E-2</v>
      </c>
      <c r="L14" s="22">
        <v>687.96345901489258</v>
      </c>
      <c r="M14" s="7">
        <f t="shared" ref="M14:M23" si="10">IF(O14&lt;=0.0001,1,0)</f>
        <v>1</v>
      </c>
      <c r="N14">
        <v>104129.257656</v>
      </c>
      <c r="O14" s="11">
        <f t="shared" ref="O14:O23" si="11">(N14-$F14)/$F14</f>
        <v>0</v>
      </c>
      <c r="P14" s="11">
        <f t="shared" ref="P14:P23" si="12">(N14-$G14)/$G14</f>
        <v>1.6445364331733169E-2</v>
      </c>
      <c r="Q14" s="22">
        <v>7214.0922322273254</v>
      </c>
      <c r="R14" s="7">
        <f t="shared" si="4"/>
        <v>0</v>
      </c>
      <c r="S14">
        <v>104878.418981</v>
      </c>
      <c r="T14" s="11">
        <f t="shared" si="5"/>
        <v>7.1945324672813169E-3</v>
      </c>
      <c r="U14" s="11">
        <f t="shared" si="6"/>
        <v>2.3758213506635411E-2</v>
      </c>
      <c r="V14" s="22">
        <v>7213.979971408844</v>
      </c>
    </row>
    <row r="15" spans="1:22" x14ac:dyDescent="0.35">
      <c r="A15" s="14" t="s">
        <v>489</v>
      </c>
      <c r="B15" s="13" t="s">
        <v>568</v>
      </c>
      <c r="C15" s="13" t="s">
        <v>578</v>
      </c>
      <c r="D15" s="13">
        <v>800</v>
      </c>
      <c r="E15" s="13">
        <v>4400</v>
      </c>
      <c r="F15">
        <f t="shared" si="0"/>
        <v>72864.149695000029</v>
      </c>
      <c r="G15" s="15">
        <v>72405.299548620445</v>
      </c>
      <c r="H15" s="7">
        <f t="shared" si="1"/>
        <v>0</v>
      </c>
      <c r="I15">
        <v>79974.639491000009</v>
      </c>
      <c r="J15" s="11">
        <f t="shared" si="2"/>
        <v>9.7585572956846084E-2</v>
      </c>
      <c r="K15" s="11">
        <f t="shared" si="3"/>
        <v>0.10454124200255151</v>
      </c>
      <c r="L15" s="22">
        <v>738.73820996284485</v>
      </c>
      <c r="M15" s="7">
        <f t="shared" si="10"/>
        <v>0</v>
      </c>
      <c r="N15">
        <v>73078.854163000025</v>
      </c>
      <c r="O15" s="11">
        <f t="shared" si="11"/>
        <v>2.9466406854224141E-3</v>
      </c>
      <c r="P15" s="11">
        <f t="shared" si="12"/>
        <v>9.3025595996227509E-3</v>
      </c>
      <c r="Q15" s="22">
        <v>7213.9993479251862</v>
      </c>
      <c r="R15" s="7">
        <f t="shared" si="4"/>
        <v>1</v>
      </c>
      <c r="S15">
        <v>72864.149695000029</v>
      </c>
      <c r="T15" s="11">
        <f t="shared" si="5"/>
        <v>0</v>
      </c>
      <c r="U15" s="11">
        <f t="shared" si="6"/>
        <v>6.3372453292795793E-3</v>
      </c>
      <c r="V15" s="22">
        <v>7213.3755102157593</v>
      </c>
    </row>
    <row r="16" spans="1:22" x14ac:dyDescent="0.35">
      <c r="A16" s="14" t="s">
        <v>490</v>
      </c>
      <c r="B16" s="13" t="s">
        <v>568</v>
      </c>
      <c r="C16" s="13" t="s">
        <v>578</v>
      </c>
      <c r="D16" s="13">
        <v>800</v>
      </c>
      <c r="E16" s="13">
        <v>4400</v>
      </c>
      <c r="F16">
        <f t="shared" si="0"/>
        <v>71457.139011000007</v>
      </c>
      <c r="G16" s="15">
        <v>70490.195090073539</v>
      </c>
      <c r="H16" s="7">
        <f t="shared" si="1"/>
        <v>0</v>
      </c>
      <c r="I16">
        <v>76852.968918000028</v>
      </c>
      <c r="J16" s="11">
        <f t="shared" si="2"/>
        <v>7.5511418196709423E-2</v>
      </c>
      <c r="K16" s="11">
        <f t="shared" si="3"/>
        <v>9.0264664749417009E-2</v>
      </c>
      <c r="L16" s="22">
        <v>614.8300518989563</v>
      </c>
      <c r="M16" s="7">
        <f t="shared" si="10"/>
        <v>0</v>
      </c>
      <c r="N16">
        <v>71825.665815</v>
      </c>
      <c r="O16" s="11">
        <f t="shared" si="11"/>
        <v>5.1573126086571037E-3</v>
      </c>
      <c r="P16" s="11">
        <f t="shared" si="12"/>
        <v>1.8945482037891575E-2</v>
      </c>
      <c r="Q16" s="22">
        <v>7210.2608921527863</v>
      </c>
      <c r="R16" s="7">
        <f t="shared" si="4"/>
        <v>1</v>
      </c>
      <c r="S16">
        <v>71457.139011000007</v>
      </c>
      <c r="T16" s="11">
        <f t="shared" si="5"/>
        <v>0</v>
      </c>
      <c r="U16" s="11">
        <f t="shared" si="6"/>
        <v>1.3717424383503131E-2</v>
      </c>
      <c r="V16" s="22">
        <v>7211.819055557251</v>
      </c>
    </row>
    <row r="17" spans="1:22" x14ac:dyDescent="0.35">
      <c r="A17" s="14" t="s">
        <v>491</v>
      </c>
      <c r="B17" s="13" t="s">
        <v>568</v>
      </c>
      <c r="C17" s="13" t="s">
        <v>578</v>
      </c>
      <c r="D17" s="13">
        <v>800</v>
      </c>
      <c r="E17" s="13">
        <v>4400</v>
      </c>
      <c r="F17">
        <f t="shared" si="0"/>
        <v>73158.438121000043</v>
      </c>
      <c r="G17" s="15">
        <v>72534.302783633742</v>
      </c>
      <c r="H17" s="7">
        <f t="shared" si="1"/>
        <v>0</v>
      </c>
      <c r="I17">
        <v>75244.548184000014</v>
      </c>
      <c r="J17" s="11">
        <f t="shared" si="2"/>
        <v>2.8514961726624884E-2</v>
      </c>
      <c r="K17" s="11">
        <f t="shared" si="3"/>
        <v>3.736501622481711E-2</v>
      </c>
      <c r="L17" s="22">
        <v>1453.789510011673</v>
      </c>
      <c r="M17" s="7">
        <f t="shared" si="10"/>
        <v>0</v>
      </c>
      <c r="N17">
        <v>73361.019196000037</v>
      </c>
      <c r="O17" s="11">
        <f t="shared" si="11"/>
        <v>2.7690732634960934E-3</v>
      </c>
      <c r="P17" s="11">
        <f t="shared" si="12"/>
        <v>1.1397592320317044E-2</v>
      </c>
      <c r="Q17" s="22">
        <v>7209.8323690891266</v>
      </c>
      <c r="R17" s="7">
        <f t="shared" si="4"/>
        <v>1</v>
      </c>
      <c r="S17">
        <v>73158.438121000043</v>
      </c>
      <c r="T17" s="11">
        <f t="shared" si="5"/>
        <v>0</v>
      </c>
      <c r="U17" s="11">
        <f t="shared" si="6"/>
        <v>8.6046920341685158E-3</v>
      </c>
      <c r="V17" s="22">
        <v>7214.3449575901031</v>
      </c>
    </row>
    <row r="18" spans="1:22" x14ac:dyDescent="0.35">
      <c r="A18" s="14" t="s">
        <v>492</v>
      </c>
      <c r="B18" s="13" t="s">
        <v>568</v>
      </c>
      <c r="C18" s="13" t="s">
        <v>578</v>
      </c>
      <c r="D18" s="13">
        <v>800</v>
      </c>
      <c r="E18" s="13">
        <v>4400</v>
      </c>
      <c r="F18">
        <f t="shared" si="0"/>
        <v>73436.834020000009</v>
      </c>
      <c r="G18" s="15">
        <v>72623.480864215526</v>
      </c>
      <c r="H18" s="7">
        <f t="shared" si="1"/>
        <v>0</v>
      </c>
      <c r="I18">
        <v>76570.318501000016</v>
      </c>
      <c r="J18" s="11">
        <f t="shared" si="2"/>
        <v>4.2669111799490483E-2</v>
      </c>
      <c r="K18" s="11">
        <f t="shared" si="3"/>
        <v>5.4346577578179046E-2</v>
      </c>
      <c r="L18" s="22">
        <v>642.2657470703125</v>
      </c>
      <c r="M18" s="7">
        <f t="shared" si="10"/>
        <v>0</v>
      </c>
      <c r="N18">
        <v>73483.341099999991</v>
      </c>
      <c r="O18" s="11">
        <f t="shared" si="11"/>
        <v>6.3329364099922033E-4</v>
      </c>
      <c r="P18" s="11">
        <f t="shared" si="12"/>
        <v>1.18399755224092E-2</v>
      </c>
      <c r="Q18" s="22">
        <v>7213.4345703125</v>
      </c>
      <c r="R18" s="7">
        <f t="shared" si="4"/>
        <v>1</v>
      </c>
      <c r="S18">
        <v>73436.834020000009</v>
      </c>
      <c r="T18" s="11">
        <f t="shared" si="5"/>
        <v>0</v>
      </c>
      <c r="U18" s="11">
        <f t="shared" si="6"/>
        <v>1.1199589252754407E-2</v>
      </c>
      <c r="V18" s="22">
        <v>7211.4446387290945</v>
      </c>
    </row>
    <row r="19" spans="1:22" x14ac:dyDescent="0.35">
      <c r="A19" s="14" t="s">
        <v>493</v>
      </c>
      <c r="B19" s="13" t="s">
        <v>568</v>
      </c>
      <c r="C19" s="13" t="s">
        <v>578</v>
      </c>
      <c r="D19" s="13">
        <v>800</v>
      </c>
      <c r="E19" s="13">
        <v>4400</v>
      </c>
      <c r="F19">
        <f t="shared" si="0"/>
        <v>75240.540787000005</v>
      </c>
      <c r="G19" s="15">
        <v>74186.848704317381</v>
      </c>
      <c r="H19" s="7">
        <f t="shared" si="1"/>
        <v>0</v>
      </c>
      <c r="I19">
        <v>84176.111701000016</v>
      </c>
      <c r="J19" s="11">
        <f t="shared" si="2"/>
        <v>0.11876005701894013</v>
      </c>
      <c r="K19" s="11">
        <f t="shared" si="3"/>
        <v>0.13465005147335904</v>
      </c>
      <c r="L19" s="22">
        <v>618.91955494880676</v>
      </c>
      <c r="M19" s="7">
        <f t="shared" si="10"/>
        <v>0</v>
      </c>
      <c r="N19">
        <v>77142.380311999994</v>
      </c>
      <c r="O19" s="11">
        <f t="shared" si="11"/>
        <v>2.5276792339703473E-2</v>
      </c>
      <c r="P19" s="11">
        <f t="shared" si="12"/>
        <v>3.9839023483290409E-2</v>
      </c>
      <c r="Q19" s="22">
        <v>7234.3251786231986</v>
      </c>
      <c r="R19" s="7">
        <f t="shared" si="4"/>
        <v>1</v>
      </c>
      <c r="S19">
        <v>75240.540787000005</v>
      </c>
      <c r="T19" s="11">
        <f t="shared" si="5"/>
        <v>0</v>
      </c>
      <c r="U19" s="11">
        <f t="shared" si="6"/>
        <v>1.4203219318322437E-2</v>
      </c>
      <c r="V19" s="22">
        <v>7215.2241623401642</v>
      </c>
    </row>
    <row r="20" spans="1:22" x14ac:dyDescent="0.35">
      <c r="A20" s="14" t="s">
        <v>494</v>
      </c>
      <c r="B20" s="13" t="s">
        <v>568</v>
      </c>
      <c r="C20" s="13" t="s">
        <v>578</v>
      </c>
      <c r="D20" s="13">
        <v>800</v>
      </c>
      <c r="E20" s="13">
        <v>4400</v>
      </c>
      <c r="F20">
        <f t="shared" si="0"/>
        <v>59529.352441000017</v>
      </c>
      <c r="G20" s="15">
        <v>59438.519098502977</v>
      </c>
      <c r="H20" s="7">
        <f t="shared" si="1"/>
        <v>0</v>
      </c>
      <c r="I20">
        <v>60045.291813000011</v>
      </c>
      <c r="J20" s="11">
        <f t="shared" si="2"/>
        <v>8.6669743722031043E-3</v>
      </c>
      <c r="K20" s="11">
        <f t="shared" si="3"/>
        <v>1.0208409019940004E-2</v>
      </c>
      <c r="L20" s="22">
        <v>1639.895427942276</v>
      </c>
      <c r="M20" s="7">
        <f t="shared" si="10"/>
        <v>1</v>
      </c>
      <c r="N20">
        <v>59529.533341000002</v>
      </c>
      <c r="O20" s="11">
        <f t="shared" si="11"/>
        <v>3.0388370201762638E-6</v>
      </c>
      <c r="P20" s="11">
        <f t="shared" si="12"/>
        <v>1.5312333462782672E-3</v>
      </c>
      <c r="Q20" s="22">
        <v>7213.0482320785522</v>
      </c>
      <c r="R20" s="7">
        <f t="shared" si="4"/>
        <v>1</v>
      </c>
      <c r="S20">
        <v>59529.352441000017</v>
      </c>
      <c r="T20" s="11">
        <f t="shared" si="5"/>
        <v>0</v>
      </c>
      <c r="U20" s="11">
        <f t="shared" si="6"/>
        <v>1.5281898653381543E-3</v>
      </c>
      <c r="V20" s="22">
        <v>7239.0061085224152</v>
      </c>
    </row>
    <row r="21" spans="1:22" x14ac:dyDescent="0.35">
      <c r="A21" s="14" t="s">
        <v>495</v>
      </c>
      <c r="B21" s="13" t="s">
        <v>568</v>
      </c>
      <c r="C21" s="13" t="s">
        <v>578</v>
      </c>
      <c r="D21" s="13">
        <v>800</v>
      </c>
      <c r="E21" s="13">
        <v>4400</v>
      </c>
      <c r="F21">
        <f t="shared" si="0"/>
        <v>58885.377009000003</v>
      </c>
      <c r="G21" s="15">
        <v>58642.433206586451</v>
      </c>
      <c r="H21" s="7">
        <f t="shared" si="1"/>
        <v>0</v>
      </c>
      <c r="I21">
        <v>60062.490033999988</v>
      </c>
      <c r="J21" s="11">
        <f t="shared" si="2"/>
        <v>1.9989903857116766E-2</v>
      </c>
      <c r="K21" s="11">
        <f t="shared" si="3"/>
        <v>2.4215516815459193E-2</v>
      </c>
      <c r="L21" s="22">
        <v>1861.2327499389651</v>
      </c>
      <c r="M21" s="7">
        <f t="shared" si="10"/>
        <v>1</v>
      </c>
      <c r="N21">
        <v>58886.095319000218</v>
      </c>
      <c r="O21" s="11">
        <f t="shared" si="11"/>
        <v>1.2198444447507844E-5</v>
      </c>
      <c r="P21" s="11">
        <f t="shared" si="12"/>
        <v>4.1550477886105226E-3</v>
      </c>
      <c r="Q21" s="22">
        <v>7212.4295847415924</v>
      </c>
      <c r="R21" s="7">
        <f t="shared" si="4"/>
        <v>1</v>
      </c>
      <c r="S21">
        <v>58885.377009000003</v>
      </c>
      <c r="T21" s="11">
        <f t="shared" si="5"/>
        <v>0</v>
      </c>
      <c r="U21" s="11">
        <f t="shared" si="6"/>
        <v>4.1427988084618925E-3</v>
      </c>
      <c r="V21" s="22">
        <v>7264.9291689395905</v>
      </c>
    </row>
    <row r="22" spans="1:22" x14ac:dyDescent="0.35">
      <c r="A22" s="14" t="s">
        <v>496</v>
      </c>
      <c r="B22" s="13" t="s">
        <v>568</v>
      </c>
      <c r="C22" s="13" t="s">
        <v>578</v>
      </c>
      <c r="D22" s="13">
        <v>800</v>
      </c>
      <c r="E22" s="13">
        <v>4400</v>
      </c>
      <c r="F22">
        <f t="shared" si="0"/>
        <v>60102.437422999887</v>
      </c>
      <c r="G22" s="15">
        <v>59969.37551707789</v>
      </c>
      <c r="H22" s="7">
        <f t="shared" si="1"/>
        <v>0</v>
      </c>
      <c r="I22">
        <v>60423.440503999998</v>
      </c>
      <c r="J22" s="11">
        <f t="shared" si="2"/>
        <v>5.3409328267487342E-3</v>
      </c>
      <c r="K22" s="11">
        <f t="shared" si="3"/>
        <v>7.5716143949640033E-3</v>
      </c>
      <c r="L22" s="22">
        <v>2391.432828187943</v>
      </c>
      <c r="M22" s="7">
        <f t="shared" si="10"/>
        <v>1</v>
      </c>
      <c r="N22">
        <v>60105.065762000027</v>
      </c>
      <c r="O22" s="11">
        <f t="shared" si="11"/>
        <v>4.3730988506217104E-5</v>
      </c>
      <c r="P22" s="11">
        <f t="shared" si="12"/>
        <v>2.2626589613809886E-3</v>
      </c>
      <c r="Q22" s="22">
        <v>7215.2460668087006</v>
      </c>
      <c r="R22" s="7">
        <f t="shared" si="4"/>
        <v>1</v>
      </c>
      <c r="S22">
        <v>60102.437422999887</v>
      </c>
      <c r="T22" s="11">
        <f t="shared" si="5"/>
        <v>0</v>
      </c>
      <c r="U22" s="11">
        <f t="shared" si="6"/>
        <v>2.2188309412043842E-3</v>
      </c>
      <c r="V22" s="22">
        <v>6248.5494742393494</v>
      </c>
    </row>
    <row r="23" spans="1:22" x14ac:dyDescent="0.35">
      <c r="A23" s="14" t="s">
        <v>497</v>
      </c>
      <c r="B23" s="13" t="s">
        <v>568</v>
      </c>
      <c r="C23" s="13" t="s">
        <v>578</v>
      </c>
      <c r="D23" s="13">
        <v>800</v>
      </c>
      <c r="E23" s="13">
        <v>4400</v>
      </c>
      <c r="F23">
        <f t="shared" si="0"/>
        <v>57961.965300000033</v>
      </c>
      <c r="G23" s="15">
        <v>57819.927655528292</v>
      </c>
      <c r="H23" s="7">
        <f t="shared" si="1"/>
        <v>0</v>
      </c>
      <c r="I23">
        <v>58208.582459000027</v>
      </c>
      <c r="J23" s="11">
        <f t="shared" si="2"/>
        <v>4.254810162553164E-3</v>
      </c>
      <c r="K23" s="11">
        <f t="shared" si="3"/>
        <v>6.7218140739851683E-3</v>
      </c>
      <c r="L23" s="22">
        <v>2328.6041619777679</v>
      </c>
      <c r="M23" s="7">
        <f t="shared" si="10"/>
        <v>0</v>
      </c>
      <c r="N23">
        <v>57972.739359000028</v>
      </c>
      <c r="O23" s="11">
        <f t="shared" si="11"/>
        <v>1.8588153359243935E-4</v>
      </c>
      <c r="P23" s="11">
        <f t="shared" si="12"/>
        <v>2.6428899112800161E-3</v>
      </c>
      <c r="Q23" s="22">
        <v>7215.7415912151337</v>
      </c>
      <c r="R23" s="7">
        <f t="shared" si="4"/>
        <v>1</v>
      </c>
      <c r="S23">
        <v>57961.965300000033</v>
      </c>
      <c r="T23" s="11">
        <f t="shared" si="5"/>
        <v>0</v>
      </c>
      <c r="U23" s="11">
        <f t="shared" si="6"/>
        <v>2.4565517500809222E-3</v>
      </c>
      <c r="V23" s="22">
        <v>5416.750340461731</v>
      </c>
    </row>
    <row r="24" spans="1:22" x14ac:dyDescent="0.35">
      <c r="A24" s="14" t="s">
        <v>498</v>
      </c>
      <c r="B24" s="13" t="s">
        <v>568</v>
      </c>
      <c r="C24" s="13" t="s">
        <v>578</v>
      </c>
      <c r="D24" s="13">
        <v>800</v>
      </c>
      <c r="E24" s="13">
        <v>4400</v>
      </c>
      <c r="F24">
        <f t="shared" si="0"/>
        <v>777481.67417000025</v>
      </c>
      <c r="G24" s="15">
        <v>752389.89886074048</v>
      </c>
      <c r="H24" s="7">
        <f t="shared" si="1"/>
        <v>0</v>
      </c>
      <c r="I24">
        <v>870620.01829500042</v>
      </c>
      <c r="J24" s="11">
        <f t="shared" si="2"/>
        <v>0.11979490606570235</v>
      </c>
      <c r="K24" s="11">
        <f t="shared" si="3"/>
        <v>0.15713942945443918</v>
      </c>
      <c r="L24" s="22">
        <v>1573.441339969635</v>
      </c>
      <c r="M24" s="7" t="s">
        <v>561</v>
      </c>
      <c r="N24" t="s">
        <v>561</v>
      </c>
      <c r="O24" t="s">
        <v>561</v>
      </c>
      <c r="P24" t="s">
        <v>561</v>
      </c>
      <c r="Q24" s="24" t="s">
        <v>561</v>
      </c>
      <c r="R24" s="7">
        <f t="shared" si="4"/>
        <v>1</v>
      </c>
      <c r="S24">
        <v>777481.67417000025</v>
      </c>
      <c r="T24" s="11">
        <f t="shared" si="5"/>
        <v>0</v>
      </c>
      <c r="U24" s="11">
        <f t="shared" si="6"/>
        <v>3.3349431388238239E-2</v>
      </c>
      <c r="V24" s="22">
        <v>7237.6506104469299</v>
      </c>
    </row>
    <row r="25" spans="1:22" x14ac:dyDescent="0.35">
      <c r="A25" s="14" t="s">
        <v>499</v>
      </c>
      <c r="B25" s="13" t="s">
        <v>568</v>
      </c>
      <c r="C25" s="13" t="s">
        <v>578</v>
      </c>
      <c r="D25" s="13">
        <v>800</v>
      </c>
      <c r="E25" s="13">
        <v>4400</v>
      </c>
      <c r="F25">
        <f t="shared" si="0"/>
        <v>58077.200216000689</v>
      </c>
      <c r="G25" s="15">
        <v>57943.302224261854</v>
      </c>
      <c r="H25" s="7">
        <f t="shared" si="1"/>
        <v>0</v>
      </c>
      <c r="I25">
        <v>58633.813154000003</v>
      </c>
      <c r="J25" s="11">
        <f t="shared" si="2"/>
        <v>9.5840180988263895E-3</v>
      </c>
      <c r="K25" s="11">
        <f t="shared" si="3"/>
        <v>1.1917010305446844E-2</v>
      </c>
      <c r="L25" s="22">
        <v>1397.149476051331</v>
      </c>
      <c r="M25" s="7">
        <f>IF(O25&lt;=0.0001,1,0)</f>
        <v>1</v>
      </c>
      <c r="N25">
        <v>58077.653023999992</v>
      </c>
      <c r="O25" s="11">
        <f>(N25-$F25)/$F25</f>
        <v>7.7966568226300219E-6</v>
      </c>
      <c r="P25" s="11">
        <f>(N25-$G25)/$G25</f>
        <v>2.3186596997553147E-3</v>
      </c>
      <c r="Q25" s="22">
        <v>7230.2234153747559</v>
      </c>
      <c r="R25" s="7">
        <f t="shared" si="4"/>
        <v>1</v>
      </c>
      <c r="S25">
        <v>58077.200216000689</v>
      </c>
      <c r="T25" s="11">
        <f t="shared" si="5"/>
        <v>0</v>
      </c>
      <c r="U25" s="11">
        <f t="shared" si="6"/>
        <v>2.3108450260670463E-3</v>
      </c>
      <c r="V25" s="22">
        <v>6347.5621268749237</v>
      </c>
    </row>
    <row r="26" spans="1:22" x14ac:dyDescent="0.35">
      <c r="A26" s="14" t="s">
        <v>509</v>
      </c>
      <c r="B26" s="13" t="s">
        <v>568</v>
      </c>
      <c r="C26" s="13" t="s">
        <v>578</v>
      </c>
      <c r="D26" s="13">
        <v>800</v>
      </c>
      <c r="E26" s="13">
        <v>4400</v>
      </c>
      <c r="F26">
        <f t="shared" si="0"/>
        <v>787710.47812400013</v>
      </c>
      <c r="G26" s="15">
        <v>759922.23526719504</v>
      </c>
      <c r="H26" s="7">
        <f t="shared" si="1"/>
        <v>0</v>
      </c>
      <c r="I26">
        <v>789457.41012900032</v>
      </c>
      <c r="J26" s="11">
        <f t="shared" si="2"/>
        <v>2.2177336134472305E-3</v>
      </c>
      <c r="K26" s="11">
        <f t="shared" si="3"/>
        <v>3.8866049039110513E-2</v>
      </c>
      <c r="L26" s="22">
        <v>1761.527431964874</v>
      </c>
      <c r="M26" s="7" t="s">
        <v>561</v>
      </c>
      <c r="N26" t="s">
        <v>561</v>
      </c>
      <c r="O26" t="s">
        <v>561</v>
      </c>
      <c r="P26" t="s">
        <v>561</v>
      </c>
      <c r="Q26" s="24" t="s">
        <v>561</v>
      </c>
      <c r="R26" s="7">
        <f t="shared" si="4"/>
        <v>1</v>
      </c>
      <c r="S26">
        <v>787710.47812400013</v>
      </c>
      <c r="T26" s="11">
        <f t="shared" si="5"/>
        <v>0</v>
      </c>
      <c r="U26" s="11">
        <f t="shared" si="6"/>
        <v>3.6567219074770875E-2</v>
      </c>
      <c r="V26" s="22">
        <v>7245.7762839794159</v>
      </c>
    </row>
    <row r="27" spans="1:22" x14ac:dyDescent="0.35">
      <c r="A27" s="14" t="s">
        <v>520</v>
      </c>
      <c r="B27" s="13" t="s">
        <v>568</v>
      </c>
      <c r="C27" s="13" t="s">
        <v>578</v>
      </c>
      <c r="D27" s="13">
        <v>800</v>
      </c>
      <c r="E27" s="13">
        <v>4400</v>
      </c>
      <c r="F27">
        <f t="shared" si="0"/>
        <v>778423.51527699945</v>
      </c>
      <c r="G27" s="15">
        <v>754413.19651217177</v>
      </c>
      <c r="H27" s="7">
        <f t="shared" si="1"/>
        <v>0</v>
      </c>
      <c r="I27">
        <v>781549.55774799967</v>
      </c>
      <c r="J27" s="11">
        <f t="shared" si="2"/>
        <v>4.01586335670735E-3</v>
      </c>
      <c r="K27" s="11">
        <f t="shared" si="3"/>
        <v>3.5970157151658584E-2</v>
      </c>
      <c r="L27" s="22">
        <v>1594.817008972168</v>
      </c>
      <c r="M27" s="7" t="s">
        <v>561</v>
      </c>
      <c r="N27" t="s">
        <v>561</v>
      </c>
      <c r="O27" t="s">
        <v>561</v>
      </c>
      <c r="P27" t="s">
        <v>561</v>
      </c>
      <c r="Q27" s="24" t="s">
        <v>561</v>
      </c>
      <c r="R27" s="7">
        <f t="shared" si="4"/>
        <v>1</v>
      </c>
      <c r="S27">
        <v>778423.51527699945</v>
      </c>
      <c r="T27" s="11">
        <f t="shared" si="5"/>
        <v>0</v>
      </c>
      <c r="U27" s="11">
        <f t="shared" si="6"/>
        <v>3.1826482988146262E-2</v>
      </c>
      <c r="V27" s="22">
        <v>7240.1406035423279</v>
      </c>
    </row>
    <row r="28" spans="1:22" x14ac:dyDescent="0.35">
      <c r="A28" s="14" t="s">
        <v>527</v>
      </c>
      <c r="B28" s="13" t="s">
        <v>568</v>
      </c>
      <c r="C28" s="13" t="s">
        <v>578</v>
      </c>
      <c r="D28" s="13">
        <v>800</v>
      </c>
      <c r="E28" s="13">
        <v>4400</v>
      </c>
      <c r="F28">
        <f t="shared" si="0"/>
        <v>449714.00798299903</v>
      </c>
      <c r="G28" s="15">
        <v>434295.41090392158</v>
      </c>
      <c r="H28" s="7">
        <f t="shared" si="1"/>
        <v>0</v>
      </c>
      <c r="I28">
        <v>459804.11442799919</v>
      </c>
      <c r="J28" s="11">
        <f t="shared" si="2"/>
        <v>2.2436718149508039E-2</v>
      </c>
      <c r="K28" s="11">
        <f t="shared" si="3"/>
        <v>5.8735834834139772E-2</v>
      </c>
      <c r="L28" s="22">
        <v>640.08455586433411</v>
      </c>
      <c r="M28" s="7">
        <f t="shared" ref="M28:M36" si="13">IF(O28&lt;=0.0001,1,0)</f>
        <v>0</v>
      </c>
      <c r="N28">
        <v>451897.38596699899</v>
      </c>
      <c r="O28" s="11">
        <f t="shared" ref="O28:O36" si="14">(N28-$F28)/$F28</f>
        <v>4.8550366349328902E-3</v>
      </c>
      <c r="P28" s="11">
        <f t="shared" ref="P28:P36" si="15">(N28-$G28)/$G28</f>
        <v>4.0529958689734948E-2</v>
      </c>
      <c r="Q28" s="22">
        <v>7217.4927761554718</v>
      </c>
      <c r="R28" s="7">
        <f t="shared" si="4"/>
        <v>1</v>
      </c>
      <c r="S28">
        <v>449714.00798299903</v>
      </c>
      <c r="T28" s="11">
        <f t="shared" si="5"/>
        <v>0</v>
      </c>
      <c r="U28" s="11">
        <f t="shared" si="6"/>
        <v>3.5502555845538221E-2</v>
      </c>
      <c r="V28" s="22">
        <v>7273.6519467830658</v>
      </c>
    </row>
    <row r="29" spans="1:22" x14ac:dyDescent="0.35">
      <c r="A29" s="14" t="s">
        <v>537</v>
      </c>
      <c r="B29" s="13" t="s">
        <v>568</v>
      </c>
      <c r="C29" s="13" t="s">
        <v>578</v>
      </c>
      <c r="D29" s="13">
        <v>800</v>
      </c>
      <c r="E29" s="13">
        <v>4400</v>
      </c>
      <c r="F29">
        <f t="shared" si="0"/>
        <v>463510.64514299901</v>
      </c>
      <c r="G29" s="15">
        <v>449265.07217580371</v>
      </c>
      <c r="H29" s="7">
        <f t="shared" si="1"/>
        <v>0</v>
      </c>
      <c r="I29">
        <v>470850.86775699921</v>
      </c>
      <c r="J29" s="11">
        <f t="shared" si="2"/>
        <v>1.5836146787385322E-2</v>
      </c>
      <c r="K29" s="11">
        <f t="shared" si="3"/>
        <v>4.8046903527698852E-2</v>
      </c>
      <c r="L29" s="22">
        <v>994.82481908798218</v>
      </c>
      <c r="M29" s="7">
        <f t="shared" si="13"/>
        <v>0</v>
      </c>
      <c r="N29">
        <v>513007.3173839997</v>
      </c>
      <c r="O29" s="11">
        <f t="shared" si="14"/>
        <v>0.10678648432277177</v>
      </c>
      <c r="P29" s="11">
        <f t="shared" si="15"/>
        <v>0.14188115025165535</v>
      </c>
      <c r="Q29" s="22">
        <v>5223.5041205882899</v>
      </c>
      <c r="R29" s="7">
        <f t="shared" si="4"/>
        <v>1</v>
      </c>
      <c r="S29">
        <v>463510.64514299901</v>
      </c>
      <c r="T29" s="11">
        <f t="shared" si="5"/>
        <v>0</v>
      </c>
      <c r="U29" s="11">
        <f t="shared" si="6"/>
        <v>3.1708614467186556E-2</v>
      </c>
      <c r="V29" s="22">
        <v>7239.3154532909393</v>
      </c>
    </row>
    <row r="30" spans="1:22" x14ac:dyDescent="0.35">
      <c r="A30" s="14" t="s">
        <v>548</v>
      </c>
      <c r="B30" s="13" t="s">
        <v>568</v>
      </c>
      <c r="C30" s="13" t="s">
        <v>578</v>
      </c>
      <c r="D30" s="13">
        <v>800</v>
      </c>
      <c r="E30" s="13">
        <v>4400</v>
      </c>
      <c r="F30">
        <f t="shared" si="0"/>
        <v>483545.87325499923</v>
      </c>
      <c r="G30" s="15">
        <v>470417.91435358662</v>
      </c>
      <c r="H30" s="7">
        <f t="shared" si="1"/>
        <v>0</v>
      </c>
      <c r="I30">
        <v>592867.24147099967</v>
      </c>
      <c r="J30" s="11">
        <f t="shared" si="2"/>
        <v>0.22608272402388907</v>
      </c>
      <c r="K30" s="11">
        <f t="shared" si="3"/>
        <v>0.26029903067291521</v>
      </c>
      <c r="L30" s="22">
        <v>331.41334199905401</v>
      </c>
      <c r="M30" s="7">
        <f t="shared" si="13"/>
        <v>1</v>
      </c>
      <c r="N30">
        <v>483545.87325499923</v>
      </c>
      <c r="O30" s="11">
        <f t="shared" si="14"/>
        <v>0</v>
      </c>
      <c r="P30" s="11">
        <f t="shared" si="15"/>
        <v>2.7907013106531195E-2</v>
      </c>
      <c r="Q30" s="22">
        <v>7214.1291460990906</v>
      </c>
      <c r="R30" s="7">
        <f t="shared" si="4"/>
        <v>0</v>
      </c>
      <c r="S30">
        <v>490973.27319999941</v>
      </c>
      <c r="T30" s="11">
        <f t="shared" si="5"/>
        <v>1.5360279873763554E-2</v>
      </c>
      <c r="U30" s="11">
        <f t="shared" si="6"/>
        <v>4.3695952512051855E-2</v>
      </c>
      <c r="V30" s="22">
        <v>7251.3358237743378</v>
      </c>
    </row>
    <row r="31" spans="1:22" x14ac:dyDescent="0.35">
      <c r="A31" s="14" t="s">
        <v>559</v>
      </c>
      <c r="B31" s="13" t="s">
        <v>568</v>
      </c>
      <c r="C31" s="13" t="s">
        <v>578</v>
      </c>
      <c r="D31" s="13">
        <v>800</v>
      </c>
      <c r="E31" s="13">
        <v>4400</v>
      </c>
      <c r="F31">
        <f t="shared" si="0"/>
        <v>439402.97655399912</v>
      </c>
      <c r="G31" s="15">
        <v>426639.10732598568</v>
      </c>
      <c r="H31" s="7">
        <f t="shared" si="1"/>
        <v>0</v>
      </c>
      <c r="I31">
        <v>552839.71083299932</v>
      </c>
      <c r="J31" s="11">
        <f t="shared" si="2"/>
        <v>0.25816105108942006</v>
      </c>
      <c r="K31" s="11">
        <f t="shared" si="3"/>
        <v>0.29580177095810978</v>
      </c>
      <c r="L31" s="22">
        <v>715.95769810676575</v>
      </c>
      <c r="M31" s="7">
        <f t="shared" si="13"/>
        <v>0</v>
      </c>
      <c r="N31">
        <v>577388.73069999996</v>
      </c>
      <c r="O31" s="11">
        <f t="shared" si="14"/>
        <v>0.31403008515815889</v>
      </c>
      <c r="P31" s="11">
        <f t="shared" si="15"/>
        <v>0.35334225293798432</v>
      </c>
      <c r="Q31" s="22">
        <v>5004.0084695816004</v>
      </c>
      <c r="R31" s="7">
        <f t="shared" si="4"/>
        <v>1</v>
      </c>
      <c r="S31">
        <v>439402.97655399912</v>
      </c>
      <c r="T31" s="11">
        <f t="shared" si="5"/>
        <v>0</v>
      </c>
      <c r="U31" s="11">
        <f t="shared" si="6"/>
        <v>2.9917250924352903E-2</v>
      </c>
      <c r="V31" s="22">
        <v>7281.9073555469513</v>
      </c>
    </row>
    <row r="32" spans="1:22" x14ac:dyDescent="0.35">
      <c r="A32" s="14" t="s">
        <v>136</v>
      </c>
      <c r="B32" s="13" t="s">
        <v>562</v>
      </c>
      <c r="C32" s="13" t="s">
        <v>578</v>
      </c>
      <c r="D32" s="13">
        <v>1000</v>
      </c>
      <c r="E32" s="13">
        <v>1000</v>
      </c>
      <c r="F32">
        <f t="shared" si="0"/>
        <v>593130.40377700003</v>
      </c>
      <c r="G32" s="15">
        <v>559155.46391726704</v>
      </c>
      <c r="H32" s="7">
        <f t="shared" si="1"/>
        <v>0</v>
      </c>
      <c r="I32">
        <v>601880.54493199987</v>
      </c>
      <c r="J32" s="11">
        <f t="shared" si="2"/>
        <v>1.4752474496805E-2</v>
      </c>
      <c r="K32" s="11">
        <f t="shared" si="3"/>
        <v>7.641002149100784E-2</v>
      </c>
      <c r="L32" s="22">
        <v>7208.2</v>
      </c>
      <c r="M32" s="7">
        <f t="shared" si="13"/>
        <v>0</v>
      </c>
      <c r="N32">
        <v>602443.77388799982</v>
      </c>
      <c r="O32" s="11">
        <f t="shared" si="14"/>
        <v>1.5702061556266727E-2</v>
      </c>
      <c r="P32" s="11">
        <f t="shared" si="15"/>
        <v>7.7417306570642289E-2</v>
      </c>
      <c r="Q32" s="22">
        <v>7622.3345818519592</v>
      </c>
      <c r="R32" s="7">
        <f t="shared" si="4"/>
        <v>1</v>
      </c>
      <c r="S32">
        <v>593130.40377700003</v>
      </c>
      <c r="T32" s="11">
        <f t="shared" si="5"/>
        <v>0</v>
      </c>
      <c r="U32" s="11">
        <f t="shared" si="6"/>
        <v>6.0761169392346201E-2</v>
      </c>
      <c r="V32" s="22">
        <v>7210.1571528911591</v>
      </c>
    </row>
    <row r="33" spans="1:22" x14ac:dyDescent="0.35">
      <c r="A33" s="14" t="s">
        <v>137</v>
      </c>
      <c r="B33" s="13" t="s">
        <v>562</v>
      </c>
      <c r="C33" s="13" t="s">
        <v>578</v>
      </c>
      <c r="D33" s="13">
        <v>1000</v>
      </c>
      <c r="E33" s="13">
        <v>1000</v>
      </c>
      <c r="F33">
        <f t="shared" si="0"/>
        <v>374328.3902599999</v>
      </c>
      <c r="G33" s="15">
        <v>357002.5246103665</v>
      </c>
      <c r="H33" s="7">
        <f t="shared" si="1"/>
        <v>1</v>
      </c>
      <c r="I33">
        <v>374328.3902599999</v>
      </c>
      <c r="J33" s="11">
        <f t="shared" si="2"/>
        <v>0</v>
      </c>
      <c r="K33" s="11">
        <f t="shared" si="3"/>
        <v>4.8531493351602756E-2</v>
      </c>
      <c r="L33" s="22">
        <v>7200.7</v>
      </c>
      <c r="M33" s="7">
        <f t="shared" si="13"/>
        <v>0</v>
      </c>
      <c r="N33">
        <v>380739.82772599987</v>
      </c>
      <c r="O33" s="11">
        <f t="shared" si="14"/>
        <v>1.7127841843753121E-2</v>
      </c>
      <c r="P33" s="11">
        <f t="shared" si="15"/>
        <v>6.6490574937923277E-2</v>
      </c>
      <c r="Q33" s="22">
        <v>7203.2787730693817</v>
      </c>
      <c r="R33" s="7">
        <f t="shared" si="4"/>
        <v>0</v>
      </c>
      <c r="S33">
        <v>380988.83362099988</v>
      </c>
      <c r="T33" s="11">
        <f t="shared" si="5"/>
        <v>1.7793048922561797E-2</v>
      </c>
      <c r="U33" s="11">
        <f t="shared" si="6"/>
        <v>6.7188065509654601E-2</v>
      </c>
      <c r="V33" s="22">
        <v>7204.6099138259888</v>
      </c>
    </row>
    <row r="34" spans="1:22" x14ac:dyDescent="0.35">
      <c r="A34" s="14" t="s">
        <v>138</v>
      </c>
      <c r="B34" s="13" t="s">
        <v>562</v>
      </c>
      <c r="C34" s="13" t="s">
        <v>578</v>
      </c>
      <c r="D34" s="13">
        <v>1000</v>
      </c>
      <c r="E34" s="13">
        <v>1000</v>
      </c>
      <c r="F34">
        <f t="shared" si="0"/>
        <v>340759.3641929999</v>
      </c>
      <c r="G34" s="15">
        <v>317916.62896547368</v>
      </c>
      <c r="H34" s="7">
        <f t="shared" si="1"/>
        <v>0</v>
      </c>
      <c r="I34">
        <v>342131.79671199992</v>
      </c>
      <c r="J34" s="11">
        <f t="shared" si="2"/>
        <v>4.0275709583220808E-3</v>
      </c>
      <c r="K34" s="11">
        <f t="shared" si="3"/>
        <v>7.6168295522396401E-2</v>
      </c>
      <c r="L34" s="22">
        <v>7202.2</v>
      </c>
      <c r="M34" s="7">
        <f t="shared" si="13"/>
        <v>1</v>
      </c>
      <c r="N34">
        <v>340759.3641929999</v>
      </c>
      <c r="O34" s="11">
        <f t="shared" si="14"/>
        <v>0</v>
      </c>
      <c r="P34" s="11">
        <f t="shared" si="15"/>
        <v>7.1851338201019313E-2</v>
      </c>
      <c r="Q34" s="22">
        <v>7203.9503440856934</v>
      </c>
      <c r="R34" s="7">
        <f t="shared" ref="R34:R65" si="16">IF(T34&lt;=0.0001,1,0)</f>
        <v>0</v>
      </c>
      <c r="S34">
        <v>342747.53311399982</v>
      </c>
      <c r="T34" s="11">
        <f t="shared" ref="T34:T65" si="17">(S34-$F34)/$F34</f>
        <v>5.8345246819801379E-3</v>
      </c>
      <c r="U34" s="11">
        <f t="shared" ref="U34:U65" si="18">(S34-$G34)/$G34</f>
        <v>7.81050812891666E-2</v>
      </c>
      <c r="V34" s="22">
        <v>7204.8857808113098</v>
      </c>
    </row>
    <row r="35" spans="1:22" x14ac:dyDescent="0.35">
      <c r="A35" s="14" t="s">
        <v>139</v>
      </c>
      <c r="B35" s="13" t="s">
        <v>562</v>
      </c>
      <c r="C35" s="13" t="s">
        <v>578</v>
      </c>
      <c r="D35" s="13">
        <v>1000</v>
      </c>
      <c r="E35" s="13">
        <v>1000</v>
      </c>
      <c r="F35">
        <f t="shared" si="0"/>
        <v>360181.55640999979</v>
      </c>
      <c r="G35" s="15">
        <v>337793.68990331149</v>
      </c>
      <c r="H35" s="7">
        <f t="shared" si="1"/>
        <v>0</v>
      </c>
      <c r="I35">
        <v>363623.51155299979</v>
      </c>
      <c r="J35" s="11">
        <f t="shared" si="2"/>
        <v>9.5561671100170744E-3</v>
      </c>
      <c r="K35" s="11">
        <f t="shared" si="3"/>
        <v>7.6466264532891973E-2</v>
      </c>
      <c r="L35" s="22">
        <v>7208.4</v>
      </c>
      <c r="M35" s="7">
        <f t="shared" si="13"/>
        <v>1</v>
      </c>
      <c r="N35">
        <v>360181.55640999979</v>
      </c>
      <c r="O35" s="11">
        <f t="shared" si="14"/>
        <v>0</v>
      </c>
      <c r="P35" s="11">
        <f t="shared" si="15"/>
        <v>6.6276745764837983E-2</v>
      </c>
      <c r="Q35" s="22">
        <v>7204.4170181751251</v>
      </c>
      <c r="R35" s="7">
        <f t="shared" si="16"/>
        <v>0</v>
      </c>
      <c r="S35">
        <v>360367.18249199988</v>
      </c>
      <c r="T35" s="11">
        <f t="shared" si="17"/>
        <v>5.1536809338673909E-4</v>
      </c>
      <c r="U35" s="11">
        <f t="shared" si="18"/>
        <v>6.6826270778325425E-2</v>
      </c>
      <c r="V35" s="22">
        <v>7205.8390779495239</v>
      </c>
    </row>
    <row r="36" spans="1:22" x14ac:dyDescent="0.35">
      <c r="A36" s="14" t="s">
        <v>140</v>
      </c>
      <c r="B36" s="13" t="s">
        <v>562</v>
      </c>
      <c r="C36" s="13" t="s">
        <v>578</v>
      </c>
      <c r="D36" s="13">
        <v>1000</v>
      </c>
      <c r="E36" s="13">
        <v>1000</v>
      </c>
      <c r="F36">
        <f t="shared" si="0"/>
        <v>363446.69973799988</v>
      </c>
      <c r="G36" s="15">
        <v>341358.15079652658</v>
      </c>
      <c r="H36" s="7">
        <f t="shared" si="1"/>
        <v>0</v>
      </c>
      <c r="I36">
        <v>366411.83972999977</v>
      </c>
      <c r="J36" s="11">
        <f t="shared" si="2"/>
        <v>8.1583901962444406E-3</v>
      </c>
      <c r="K36" s="11">
        <f t="shared" si="3"/>
        <v>7.3394142999113426E-2</v>
      </c>
      <c r="L36" s="22">
        <v>7200.8</v>
      </c>
      <c r="M36" s="7">
        <f t="shared" si="13"/>
        <v>1</v>
      </c>
      <c r="N36">
        <v>363446.69973799988</v>
      </c>
      <c r="O36" s="11">
        <f t="shared" si="14"/>
        <v>0</v>
      </c>
      <c r="P36" s="11">
        <f t="shared" si="15"/>
        <v>6.4707840987337742E-2</v>
      </c>
      <c r="Q36" s="22">
        <v>7202.7112376689911</v>
      </c>
      <c r="R36" s="7">
        <f t="shared" si="16"/>
        <v>0</v>
      </c>
      <c r="S36">
        <v>368142.9170789998</v>
      </c>
      <c r="T36" s="11">
        <f t="shared" si="17"/>
        <v>1.2921337143480227E-2</v>
      </c>
      <c r="U36" s="11">
        <f t="shared" si="18"/>
        <v>7.8465289960042067E-2</v>
      </c>
      <c r="V36" s="22">
        <v>7204.1569418907166</v>
      </c>
    </row>
    <row r="37" spans="1:22" x14ac:dyDescent="0.35">
      <c r="A37" s="14" t="s">
        <v>141</v>
      </c>
      <c r="B37" s="13" t="s">
        <v>562</v>
      </c>
      <c r="C37" s="13" t="s">
        <v>578</v>
      </c>
      <c r="D37" s="13">
        <v>1000</v>
      </c>
      <c r="E37" s="13">
        <v>1000</v>
      </c>
      <c r="F37">
        <f t="shared" si="0"/>
        <v>371971.74036399991</v>
      </c>
      <c r="G37" s="15">
        <v>353951.90989292943</v>
      </c>
      <c r="H37" s="7">
        <f t="shared" si="1"/>
        <v>1</v>
      </c>
      <c r="I37">
        <v>371971.74036399991</v>
      </c>
      <c r="J37" s="11">
        <f t="shared" si="2"/>
        <v>0</v>
      </c>
      <c r="K37" s="11">
        <f t="shared" si="3"/>
        <v>5.0910391969692971E-2</v>
      </c>
      <c r="L37" s="22">
        <v>7213.3</v>
      </c>
      <c r="M37" s="7" t="s">
        <v>561</v>
      </c>
      <c r="N37" t="s">
        <v>561</v>
      </c>
      <c r="O37" t="s">
        <v>561</v>
      </c>
      <c r="P37" t="s">
        <v>561</v>
      </c>
      <c r="Q37" s="24" t="s">
        <v>561</v>
      </c>
      <c r="R37" s="7">
        <f t="shared" si="16"/>
        <v>0</v>
      </c>
      <c r="S37">
        <v>376257.14921699988</v>
      </c>
      <c r="T37" s="11">
        <f t="shared" si="17"/>
        <v>1.1520791468745462E-2</v>
      </c>
      <c r="U37" s="11">
        <f t="shared" si="18"/>
        <v>6.3017711447913349E-2</v>
      </c>
      <c r="V37" s="22">
        <v>7203.8358333110809</v>
      </c>
    </row>
    <row r="38" spans="1:22" x14ac:dyDescent="0.35">
      <c r="A38" s="14" t="s">
        <v>142</v>
      </c>
      <c r="B38" s="13" t="s">
        <v>562</v>
      </c>
      <c r="C38" s="13" t="s">
        <v>578</v>
      </c>
      <c r="D38" s="13">
        <v>1000</v>
      </c>
      <c r="E38" s="13">
        <v>1000</v>
      </c>
      <c r="F38">
        <f t="shared" si="0"/>
        <v>101067.565088</v>
      </c>
      <c r="G38" s="15">
        <v>97472.677756171994</v>
      </c>
      <c r="H38" s="7">
        <f t="shared" si="1"/>
        <v>1</v>
      </c>
      <c r="I38">
        <v>101067.565088</v>
      </c>
      <c r="J38" s="11">
        <f t="shared" si="2"/>
        <v>0</v>
      </c>
      <c r="K38" s="11">
        <f t="shared" si="3"/>
        <v>3.6880974387721491E-2</v>
      </c>
      <c r="L38" s="22">
        <v>7209</v>
      </c>
      <c r="M38" s="7">
        <f>IF(O38&lt;=0.0001,1,0)</f>
        <v>0</v>
      </c>
      <c r="N38">
        <v>101206.578024</v>
      </c>
      <c r="O38" s="11">
        <f>(N38-$F38)/$F38</f>
        <v>1.375445583149846E-3</v>
      </c>
      <c r="P38" s="11">
        <f>(N38-$G38)/$G38</f>
        <v>3.8307147744195191E-2</v>
      </c>
      <c r="Q38" s="22">
        <v>7204.9147374629974</v>
      </c>
      <c r="R38" s="7">
        <f t="shared" si="16"/>
        <v>0</v>
      </c>
      <c r="S38">
        <v>101593.97722200021</v>
      </c>
      <c r="T38" s="11">
        <f t="shared" si="17"/>
        <v>5.2085170305810032E-3</v>
      </c>
      <c r="U38" s="11">
        <f t="shared" si="18"/>
        <v>4.2281586601505362E-2</v>
      </c>
      <c r="V38" s="22">
        <v>7205.426629781723</v>
      </c>
    </row>
    <row r="39" spans="1:22" x14ac:dyDescent="0.35">
      <c r="A39" s="14" t="s">
        <v>143</v>
      </c>
      <c r="B39" s="13" t="s">
        <v>562</v>
      </c>
      <c r="C39" s="13" t="s">
        <v>578</v>
      </c>
      <c r="D39" s="13">
        <v>1000</v>
      </c>
      <c r="E39" s="13">
        <v>1000</v>
      </c>
      <c r="F39">
        <f t="shared" si="0"/>
        <v>98502.658276000031</v>
      </c>
      <c r="G39" s="15">
        <v>95451.662812756564</v>
      </c>
      <c r="H39" s="7">
        <f t="shared" si="1"/>
        <v>0</v>
      </c>
      <c r="I39">
        <v>98691.968306000024</v>
      </c>
      <c r="J39" s="11">
        <f t="shared" si="2"/>
        <v>1.9218773717715827E-3</v>
      </c>
      <c r="K39" s="11">
        <f t="shared" si="3"/>
        <v>3.3947082719761823E-2</v>
      </c>
      <c r="L39" s="22">
        <v>7211</v>
      </c>
      <c r="M39" s="7">
        <f>IF(O39&lt;=0.0001,1,0)</f>
        <v>0</v>
      </c>
      <c r="N39">
        <v>98697.564907000036</v>
      </c>
      <c r="O39" s="11">
        <f>(N39-$F39)/$F39</f>
        <v>1.9786941226894168E-3</v>
      </c>
      <c r="P39" s="11">
        <f>(N39-$G39)/$G39</f>
        <v>3.4005715548516106E-2</v>
      </c>
      <c r="Q39" s="22">
        <v>7204.5412600040436</v>
      </c>
      <c r="R39" s="7">
        <f t="shared" si="16"/>
        <v>1</v>
      </c>
      <c r="S39">
        <v>98502.658276000031</v>
      </c>
      <c r="T39" s="11">
        <f t="shared" si="17"/>
        <v>0</v>
      </c>
      <c r="U39" s="11">
        <f t="shared" si="18"/>
        <v>3.1963774892308311E-2</v>
      </c>
      <c r="V39" s="22">
        <v>7202.779486656189</v>
      </c>
    </row>
    <row r="40" spans="1:22" x14ac:dyDescent="0.35">
      <c r="A40" s="14" t="s">
        <v>144</v>
      </c>
      <c r="B40" s="13" t="s">
        <v>562</v>
      </c>
      <c r="C40" s="13" t="s">
        <v>578</v>
      </c>
      <c r="D40" s="13">
        <v>1000</v>
      </c>
      <c r="E40" s="13">
        <v>1000</v>
      </c>
      <c r="F40">
        <f t="shared" si="0"/>
        <v>99820.588167000024</v>
      </c>
      <c r="G40" s="15">
        <v>97118.179980671979</v>
      </c>
      <c r="H40" s="7">
        <f t="shared" si="1"/>
        <v>0</v>
      </c>
      <c r="I40">
        <v>100517.537321</v>
      </c>
      <c r="J40" s="11">
        <f t="shared" si="2"/>
        <v>6.9820181066652847E-3</v>
      </c>
      <c r="K40" s="11">
        <f t="shared" si="3"/>
        <v>3.500227600027659E-2</v>
      </c>
      <c r="L40" s="22">
        <v>7212.6</v>
      </c>
      <c r="M40" s="7">
        <f>IF(O40&lt;=0.0001,1,0)</f>
        <v>1</v>
      </c>
      <c r="N40">
        <v>99820.588167000024</v>
      </c>
      <c r="O40" s="11">
        <f>(N40-$F40)/$F40</f>
        <v>0</v>
      </c>
      <c r="P40" s="11">
        <f>(N40-$G40)/$G40</f>
        <v>2.7825976422394504E-2</v>
      </c>
      <c r="Q40" s="22">
        <v>7203.9791898727417</v>
      </c>
      <c r="R40" s="7">
        <f t="shared" si="16"/>
        <v>0</v>
      </c>
      <c r="S40">
        <v>100144.9308820001</v>
      </c>
      <c r="T40" s="11">
        <f t="shared" si="17"/>
        <v>3.2492567010069403E-3</v>
      </c>
      <c r="U40" s="11">
        <f t="shared" si="18"/>
        <v>3.1165646863753969E-2</v>
      </c>
      <c r="V40" s="22">
        <v>7204.4107294082642</v>
      </c>
    </row>
    <row r="41" spans="1:22" x14ac:dyDescent="0.35">
      <c r="A41" s="14" t="s">
        <v>145</v>
      </c>
      <c r="B41" s="13" t="s">
        <v>562</v>
      </c>
      <c r="C41" s="13" t="s">
        <v>578</v>
      </c>
      <c r="D41" s="13">
        <v>1000</v>
      </c>
      <c r="E41" s="13">
        <v>1000</v>
      </c>
      <c r="F41">
        <f t="shared" si="0"/>
        <v>95170.831106999991</v>
      </c>
      <c r="G41" s="15">
        <v>92508.975414462126</v>
      </c>
      <c r="H41" s="7">
        <f t="shared" si="1"/>
        <v>0</v>
      </c>
      <c r="I41">
        <v>96485.835363000035</v>
      </c>
      <c r="J41" s="11">
        <f t="shared" si="2"/>
        <v>1.3817303481584525E-2</v>
      </c>
      <c r="K41" s="11">
        <f t="shared" si="3"/>
        <v>4.2988909246055688E-2</v>
      </c>
      <c r="L41" s="22">
        <v>7217.8</v>
      </c>
      <c r="M41" s="7" t="s">
        <v>561</v>
      </c>
      <c r="N41" t="s">
        <v>561</v>
      </c>
      <c r="O41" t="s">
        <v>561</v>
      </c>
      <c r="P41" t="s">
        <v>561</v>
      </c>
      <c r="Q41" s="24" t="s">
        <v>561</v>
      </c>
      <c r="R41" s="7">
        <f t="shared" si="16"/>
        <v>1</v>
      </c>
      <c r="S41">
        <v>95170.831106999991</v>
      </c>
      <c r="T41" s="11">
        <f t="shared" si="17"/>
        <v>0</v>
      </c>
      <c r="U41" s="11">
        <f t="shared" si="18"/>
        <v>2.8774026310551176E-2</v>
      </c>
      <c r="V41" s="22">
        <v>7202.9374344348907</v>
      </c>
    </row>
    <row r="42" spans="1:22" x14ac:dyDescent="0.35">
      <c r="A42" s="14" t="s">
        <v>146</v>
      </c>
      <c r="B42" s="13" t="s">
        <v>562</v>
      </c>
      <c r="C42" s="13" t="s">
        <v>578</v>
      </c>
      <c r="D42" s="13">
        <v>1000</v>
      </c>
      <c r="E42" s="13">
        <v>1000</v>
      </c>
      <c r="F42">
        <f t="shared" si="0"/>
        <v>101817.506635</v>
      </c>
      <c r="G42" s="15">
        <v>98821.254017052328</v>
      </c>
      <c r="H42" s="7">
        <f t="shared" si="1"/>
        <v>0</v>
      </c>
      <c r="I42">
        <v>102739.72747</v>
      </c>
      <c r="J42" s="11">
        <f t="shared" si="2"/>
        <v>9.0575861212749895E-3</v>
      </c>
      <c r="K42" s="11">
        <f t="shared" si="3"/>
        <v>3.965213244785893E-2</v>
      </c>
      <c r="L42" s="22">
        <v>7206.5</v>
      </c>
      <c r="M42" s="7">
        <f t="shared" ref="M42:M53" si="19">IF(O42&lt;=0.0001,1,0)</f>
        <v>1</v>
      </c>
      <c r="N42">
        <v>101817.506635</v>
      </c>
      <c r="O42" s="11">
        <f t="shared" ref="O42:O53" si="20">(N42-$F42)/$F42</f>
        <v>0</v>
      </c>
      <c r="P42" s="11">
        <f t="shared" ref="P42:P53" si="21">(N42-$G42)/$G42</f>
        <v>3.0319921030658493E-2</v>
      </c>
      <c r="Q42" s="22">
        <v>7202.5449912548074</v>
      </c>
      <c r="R42" s="7">
        <f t="shared" si="16"/>
        <v>0</v>
      </c>
      <c r="S42">
        <v>102446.57373800001</v>
      </c>
      <c r="T42" s="11">
        <f t="shared" si="17"/>
        <v>6.178378589205849E-3</v>
      </c>
      <c r="U42" s="11">
        <f t="shared" si="18"/>
        <v>3.6685627570786576E-2</v>
      </c>
      <c r="V42" s="22">
        <v>7204.4165024757394</v>
      </c>
    </row>
    <row r="43" spans="1:22" x14ac:dyDescent="0.35">
      <c r="A43" s="14" t="s">
        <v>147</v>
      </c>
      <c r="B43" s="13" t="s">
        <v>562</v>
      </c>
      <c r="C43" s="13" t="s">
        <v>578</v>
      </c>
      <c r="D43" s="13">
        <v>1000</v>
      </c>
      <c r="E43" s="13">
        <v>1000</v>
      </c>
      <c r="F43">
        <f t="shared" si="0"/>
        <v>50789.084445</v>
      </c>
      <c r="G43" s="15">
        <v>50308.600889251931</v>
      </c>
      <c r="H43" s="7">
        <f t="shared" si="1"/>
        <v>0</v>
      </c>
      <c r="I43">
        <v>51228.724534000008</v>
      </c>
      <c r="J43" s="11">
        <f t="shared" si="2"/>
        <v>8.656192443793672E-3</v>
      </c>
      <c r="K43" s="11">
        <f t="shared" si="3"/>
        <v>1.8289589224983888E-2</v>
      </c>
      <c r="L43" s="22">
        <v>7213</v>
      </c>
      <c r="M43" s="7">
        <f t="shared" si="19"/>
        <v>0</v>
      </c>
      <c r="N43">
        <v>50875.671906000003</v>
      </c>
      <c r="O43" s="11">
        <f t="shared" si="20"/>
        <v>1.7048439038858678E-3</v>
      </c>
      <c r="P43" s="11">
        <f t="shared" si="21"/>
        <v>1.1271850274596339E-2</v>
      </c>
      <c r="Q43" s="22">
        <v>7202.5244634151459</v>
      </c>
      <c r="R43" s="7">
        <f t="shared" si="16"/>
        <v>1</v>
      </c>
      <c r="S43">
        <v>50789.084445</v>
      </c>
      <c r="T43" s="11">
        <f t="shared" si="17"/>
        <v>0</v>
      </c>
      <c r="U43" s="11">
        <f t="shared" si="18"/>
        <v>9.5507238773305074E-3</v>
      </c>
      <c r="V43" s="22">
        <v>7205.7978513240814</v>
      </c>
    </row>
    <row r="44" spans="1:22" x14ac:dyDescent="0.35">
      <c r="A44" s="14" t="s">
        <v>148</v>
      </c>
      <c r="B44" s="13" t="s">
        <v>562</v>
      </c>
      <c r="C44" s="13" t="s">
        <v>578</v>
      </c>
      <c r="D44" s="13">
        <v>1000</v>
      </c>
      <c r="E44" s="13">
        <v>1000</v>
      </c>
      <c r="F44">
        <f t="shared" si="0"/>
        <v>52057.313243999997</v>
      </c>
      <c r="G44" s="15">
        <v>51555.736904697507</v>
      </c>
      <c r="H44" s="7">
        <f t="shared" si="1"/>
        <v>0</v>
      </c>
      <c r="I44">
        <v>52407.763951000001</v>
      </c>
      <c r="J44" s="11">
        <f t="shared" si="2"/>
        <v>6.7320167938247511E-3</v>
      </c>
      <c r="K44" s="11">
        <f t="shared" si="3"/>
        <v>1.6526328541816671E-2</v>
      </c>
      <c r="L44" s="22">
        <v>7215.5</v>
      </c>
      <c r="M44" s="7">
        <f t="shared" si="19"/>
        <v>0</v>
      </c>
      <c r="N44">
        <v>52149.452228000009</v>
      </c>
      <c r="O44" s="11">
        <f t="shared" si="20"/>
        <v>1.769952735903667E-3</v>
      </c>
      <c r="P44" s="11">
        <f t="shared" si="21"/>
        <v>1.1515989469804387E-2</v>
      </c>
      <c r="Q44" s="22">
        <v>7202.304523229599</v>
      </c>
      <c r="R44" s="7">
        <f t="shared" si="16"/>
        <v>1</v>
      </c>
      <c r="S44">
        <v>52057.313243999997</v>
      </c>
      <c r="T44" s="11">
        <f t="shared" si="17"/>
        <v>0</v>
      </c>
      <c r="U44" s="11">
        <f t="shared" si="18"/>
        <v>9.7288171873029464E-3</v>
      </c>
      <c r="V44" s="22">
        <v>7207.0710337162018</v>
      </c>
    </row>
    <row r="45" spans="1:22" x14ac:dyDescent="0.35">
      <c r="A45" s="14" t="s">
        <v>149</v>
      </c>
      <c r="B45" s="13" t="s">
        <v>562</v>
      </c>
      <c r="C45" s="13" t="s">
        <v>578</v>
      </c>
      <c r="D45" s="13">
        <v>1000</v>
      </c>
      <c r="E45" s="13">
        <v>1000</v>
      </c>
      <c r="F45">
        <f t="shared" si="0"/>
        <v>51125.844769999982</v>
      </c>
      <c r="G45" s="15">
        <v>50476.137215467563</v>
      </c>
      <c r="H45" s="7">
        <f t="shared" si="1"/>
        <v>0</v>
      </c>
      <c r="I45">
        <v>51282.880405999997</v>
      </c>
      <c r="J45" s="11">
        <f t="shared" si="2"/>
        <v>3.0715509290158791E-3</v>
      </c>
      <c r="K45" s="11">
        <f t="shared" si="3"/>
        <v>1.5982664978674732E-2</v>
      </c>
      <c r="L45" s="22">
        <v>7213.9</v>
      </c>
      <c r="M45" s="7">
        <f t="shared" si="19"/>
        <v>1</v>
      </c>
      <c r="N45">
        <v>51125.844769999982</v>
      </c>
      <c r="O45" s="11">
        <f t="shared" si="20"/>
        <v>0</v>
      </c>
      <c r="P45" s="11">
        <f t="shared" si="21"/>
        <v>1.2871578341246897E-2</v>
      </c>
      <c r="Q45" s="22">
        <v>7204.6064457893372</v>
      </c>
      <c r="R45" s="7">
        <f t="shared" si="16"/>
        <v>1</v>
      </c>
      <c r="S45">
        <v>51130.887312999977</v>
      </c>
      <c r="T45" s="11">
        <f t="shared" si="17"/>
        <v>9.8630018196879424E-5</v>
      </c>
      <c r="U45" s="11">
        <f t="shared" si="18"/>
        <v>1.2971477883449796E-2</v>
      </c>
      <c r="V45" s="22">
        <v>7203.2152986526489</v>
      </c>
    </row>
    <row r="46" spans="1:22" x14ac:dyDescent="0.35">
      <c r="A46" s="14" t="s">
        <v>150</v>
      </c>
      <c r="B46" s="13" t="s">
        <v>562</v>
      </c>
      <c r="C46" s="13" t="s">
        <v>578</v>
      </c>
      <c r="D46" s="13">
        <v>1000</v>
      </c>
      <c r="E46" s="13">
        <v>1000</v>
      </c>
      <c r="F46">
        <f t="shared" si="0"/>
        <v>51542.626950000049</v>
      </c>
      <c r="G46" s="15">
        <v>50891.656415049772</v>
      </c>
      <c r="H46" s="7">
        <f t="shared" si="1"/>
        <v>0</v>
      </c>
      <c r="I46">
        <v>51793.011336000003</v>
      </c>
      <c r="J46" s="11">
        <f t="shared" si="2"/>
        <v>4.8578118892318896E-3</v>
      </c>
      <c r="K46" s="11">
        <f t="shared" si="3"/>
        <v>1.7711251400409918E-2</v>
      </c>
      <c r="L46" s="22">
        <v>7209</v>
      </c>
      <c r="M46" s="7">
        <f t="shared" si="19"/>
        <v>0</v>
      </c>
      <c r="N46">
        <v>51551.763186999997</v>
      </c>
      <c r="O46" s="11">
        <f t="shared" si="20"/>
        <v>1.7725594407150914E-4</v>
      </c>
      <c r="P46" s="11">
        <f t="shared" si="21"/>
        <v>1.297082505168797E-2</v>
      </c>
      <c r="Q46" s="22">
        <v>7203.8553762435913</v>
      </c>
      <c r="R46" s="7">
        <f t="shared" si="16"/>
        <v>1</v>
      </c>
      <c r="S46">
        <v>51542.626950000049</v>
      </c>
      <c r="T46" s="11">
        <f t="shared" si="17"/>
        <v>0</v>
      </c>
      <c r="U46" s="11">
        <f t="shared" si="18"/>
        <v>1.2791301773344723E-2</v>
      </c>
      <c r="V46" s="22">
        <v>7205.7511417865753</v>
      </c>
    </row>
    <row r="47" spans="1:22" x14ac:dyDescent="0.35">
      <c r="A47" s="14" t="s">
        <v>151</v>
      </c>
      <c r="B47" s="13" t="s">
        <v>562</v>
      </c>
      <c r="C47" s="13" t="s">
        <v>578</v>
      </c>
      <c r="D47" s="13">
        <v>1000</v>
      </c>
      <c r="E47" s="13">
        <v>1000</v>
      </c>
      <c r="F47">
        <f t="shared" si="0"/>
        <v>49260.478908000019</v>
      </c>
      <c r="G47" s="15">
        <v>48682.214337435507</v>
      </c>
      <c r="H47" s="7">
        <f t="shared" si="1"/>
        <v>0</v>
      </c>
      <c r="I47">
        <v>49281.835210999998</v>
      </c>
      <c r="J47" s="11">
        <f t="shared" si="2"/>
        <v>4.3353827395515513E-4</v>
      </c>
      <c r="K47" s="11">
        <f t="shared" si="3"/>
        <v>1.2317041895594214E-2</v>
      </c>
      <c r="L47" s="22">
        <v>7209.6</v>
      </c>
      <c r="M47" s="7">
        <f t="shared" si="19"/>
        <v>0</v>
      </c>
      <c r="N47">
        <v>49286.576082</v>
      </c>
      <c r="O47" s="11">
        <f t="shared" si="20"/>
        <v>5.2977913691663674E-4</v>
      </c>
      <c r="P47" s="11">
        <f t="shared" si="21"/>
        <v>1.2414425941585651E-2</v>
      </c>
      <c r="Q47" s="22">
        <v>7203.5673675537109</v>
      </c>
      <c r="R47" s="7">
        <f t="shared" si="16"/>
        <v>1</v>
      </c>
      <c r="S47">
        <v>49260.478908000019</v>
      </c>
      <c r="T47" s="11">
        <f t="shared" si="17"/>
        <v>0</v>
      </c>
      <c r="U47" s="11">
        <f t="shared" si="18"/>
        <v>1.1878353900591568E-2</v>
      </c>
      <c r="V47" s="22">
        <v>7204.9735236167908</v>
      </c>
    </row>
    <row r="48" spans="1:22" x14ac:dyDescent="0.35">
      <c r="A48" s="14" t="s">
        <v>152</v>
      </c>
      <c r="B48" s="13" t="s">
        <v>562</v>
      </c>
      <c r="C48" s="13" t="s">
        <v>578</v>
      </c>
      <c r="D48" s="13">
        <v>1000</v>
      </c>
      <c r="E48" s="13">
        <v>1000</v>
      </c>
      <c r="F48">
        <f t="shared" si="0"/>
        <v>27699.809022000001</v>
      </c>
      <c r="G48" s="15">
        <v>27505.183566014999</v>
      </c>
      <c r="H48" s="7">
        <f t="shared" si="1"/>
        <v>0</v>
      </c>
      <c r="I48">
        <v>27817.534568999999</v>
      </c>
      <c r="J48" s="11">
        <f t="shared" si="2"/>
        <v>4.2500490493092248E-3</v>
      </c>
      <c r="K48" s="11">
        <f t="shared" si="3"/>
        <v>1.1356077745684879E-2</v>
      </c>
      <c r="L48" s="22">
        <v>7205.9</v>
      </c>
      <c r="M48" s="7">
        <f t="shared" si="19"/>
        <v>0</v>
      </c>
      <c r="N48">
        <v>27707.715559000011</v>
      </c>
      <c r="O48" s="11">
        <f t="shared" si="20"/>
        <v>2.8543651668248848E-4</v>
      </c>
      <c r="P48" s="11">
        <f t="shared" si="21"/>
        <v>7.363411791050818E-3</v>
      </c>
      <c r="Q48" s="22">
        <v>7201.1752672195425</v>
      </c>
      <c r="R48" s="7">
        <f t="shared" si="16"/>
        <v>1</v>
      </c>
      <c r="S48">
        <v>27699.809022000001</v>
      </c>
      <c r="T48" s="11">
        <f t="shared" si="17"/>
        <v>0</v>
      </c>
      <c r="U48" s="11">
        <f t="shared" si="18"/>
        <v>7.0759555382672867E-3</v>
      </c>
      <c r="V48" s="22">
        <v>7205.3687615394592</v>
      </c>
    </row>
    <row r="49" spans="1:22" x14ac:dyDescent="0.35">
      <c r="A49" s="14" t="s">
        <v>153</v>
      </c>
      <c r="B49" s="13" t="s">
        <v>562</v>
      </c>
      <c r="C49" s="13" t="s">
        <v>578</v>
      </c>
      <c r="D49" s="13">
        <v>1000</v>
      </c>
      <c r="E49" s="13">
        <v>1000</v>
      </c>
      <c r="F49">
        <f t="shared" si="0"/>
        <v>26835.687586</v>
      </c>
      <c r="G49" s="15">
        <v>26650.000196316691</v>
      </c>
      <c r="H49" s="7">
        <f t="shared" si="1"/>
        <v>0</v>
      </c>
      <c r="I49">
        <v>26843.75249599999</v>
      </c>
      <c r="J49" s="11">
        <f t="shared" si="2"/>
        <v>3.0052928489886953E-4</v>
      </c>
      <c r="K49" s="11">
        <f t="shared" si="3"/>
        <v>7.2702550940347875E-3</v>
      </c>
      <c r="L49" s="22">
        <v>7207.3</v>
      </c>
      <c r="M49" s="7">
        <f t="shared" si="19"/>
        <v>1</v>
      </c>
      <c r="N49">
        <v>26835.687586</v>
      </c>
      <c r="O49" s="11">
        <f t="shared" si="20"/>
        <v>0</v>
      </c>
      <c r="P49" s="11">
        <f t="shared" si="21"/>
        <v>6.9676318317240908E-3</v>
      </c>
      <c r="Q49" s="22">
        <v>7202.1082694530487</v>
      </c>
      <c r="R49" s="7">
        <f t="shared" si="16"/>
        <v>0</v>
      </c>
      <c r="S49">
        <v>26891.76312</v>
      </c>
      <c r="T49" s="11">
        <f t="shared" si="17"/>
        <v>2.0895881210531695E-3</v>
      </c>
      <c r="U49" s="11">
        <f t="shared" si="18"/>
        <v>9.0717794334847033E-3</v>
      </c>
      <c r="V49" s="22">
        <v>7208.9727969169617</v>
      </c>
    </row>
    <row r="50" spans="1:22" x14ac:dyDescent="0.35">
      <c r="A50" s="14" t="s">
        <v>154</v>
      </c>
      <c r="B50" s="13" t="s">
        <v>562</v>
      </c>
      <c r="C50" s="13" t="s">
        <v>578</v>
      </c>
      <c r="D50" s="13">
        <v>1000</v>
      </c>
      <c r="E50" s="13">
        <v>1000</v>
      </c>
      <c r="F50">
        <f t="shared" si="0"/>
        <v>26841.313960999989</v>
      </c>
      <c r="G50" s="15">
        <v>26644.924946214109</v>
      </c>
      <c r="H50" s="7">
        <f t="shared" si="1"/>
        <v>0</v>
      </c>
      <c r="I50">
        <v>26902.21326800004</v>
      </c>
      <c r="J50" s="11">
        <f t="shared" si="2"/>
        <v>2.2688645976324542E-3</v>
      </c>
      <c r="K50" s="11">
        <f t="shared" si="3"/>
        <v>9.656184894695604E-3</v>
      </c>
      <c r="L50" s="22">
        <v>7204.4</v>
      </c>
      <c r="M50" s="7">
        <f t="shared" si="19"/>
        <v>0</v>
      </c>
      <c r="N50">
        <v>26845.68508599999</v>
      </c>
      <c r="O50" s="11">
        <f t="shared" si="20"/>
        <v>1.6285063415124389E-4</v>
      </c>
      <c r="P50" s="11">
        <f t="shared" si="21"/>
        <v>7.5346483501507093E-3</v>
      </c>
      <c r="Q50" s="22">
        <v>7201.4536015987396</v>
      </c>
      <c r="R50" s="7">
        <f t="shared" si="16"/>
        <v>1</v>
      </c>
      <c r="S50">
        <v>26841.313960999989</v>
      </c>
      <c r="T50" s="11">
        <f t="shared" si="17"/>
        <v>0</v>
      </c>
      <c r="U50" s="11">
        <f t="shared" si="18"/>
        <v>7.3705974095372492E-3</v>
      </c>
      <c r="V50" s="22">
        <v>7210.3036777973184</v>
      </c>
    </row>
    <row r="51" spans="1:22" x14ac:dyDescent="0.35">
      <c r="A51" s="14" t="s">
        <v>155</v>
      </c>
      <c r="B51" s="13" t="s">
        <v>562</v>
      </c>
      <c r="C51" s="13" t="s">
        <v>578</v>
      </c>
      <c r="D51" s="13">
        <v>1000</v>
      </c>
      <c r="E51" s="13">
        <v>1000</v>
      </c>
      <c r="F51">
        <f t="shared" si="0"/>
        <v>28073.004349000181</v>
      </c>
      <c r="G51" s="15">
        <v>27877.40913038369</v>
      </c>
      <c r="H51" s="7">
        <f t="shared" si="1"/>
        <v>0</v>
      </c>
      <c r="I51">
        <v>28171.426576000002</v>
      </c>
      <c r="J51" s="11">
        <f t="shared" si="2"/>
        <v>3.5059385086201561E-3</v>
      </c>
      <c r="K51" s="11">
        <f t="shared" si="3"/>
        <v>1.0546799533671894E-2</v>
      </c>
      <c r="L51" s="22">
        <v>7207.8</v>
      </c>
      <c r="M51" s="7">
        <f t="shared" si="19"/>
        <v>0</v>
      </c>
      <c r="N51">
        <v>28100.529221000001</v>
      </c>
      <c r="O51" s="11">
        <f t="shared" si="20"/>
        <v>9.8047475281355764E-4</v>
      </c>
      <c r="P51" s="11">
        <f t="shared" si="21"/>
        <v>8.0036164613708997E-3</v>
      </c>
      <c r="Q51" s="22">
        <v>7206.5490527153024</v>
      </c>
      <c r="R51" s="7">
        <f t="shared" si="16"/>
        <v>1</v>
      </c>
      <c r="S51">
        <v>28073.004349000181</v>
      </c>
      <c r="T51" s="11">
        <f t="shared" si="17"/>
        <v>0</v>
      </c>
      <c r="U51" s="11">
        <f t="shared" si="18"/>
        <v>7.0162624403754406E-3</v>
      </c>
      <c r="V51" s="22">
        <v>7209.0198998451233</v>
      </c>
    </row>
    <row r="52" spans="1:22" x14ac:dyDescent="0.35">
      <c r="A52" s="14" t="s">
        <v>156</v>
      </c>
      <c r="B52" s="13" t="s">
        <v>562</v>
      </c>
      <c r="C52" s="13" t="s">
        <v>578</v>
      </c>
      <c r="D52" s="13">
        <v>1000</v>
      </c>
      <c r="E52" s="13">
        <v>1000</v>
      </c>
      <c r="F52">
        <f t="shared" si="0"/>
        <v>27013.499539</v>
      </c>
      <c r="G52" s="15">
        <v>26882.384300239031</v>
      </c>
      <c r="H52" s="7">
        <f t="shared" si="1"/>
        <v>0</v>
      </c>
      <c r="I52">
        <v>27049.383011000002</v>
      </c>
      <c r="J52" s="11">
        <f t="shared" si="2"/>
        <v>1.3283533274981855E-3</v>
      </c>
      <c r="K52" s="11">
        <f t="shared" si="3"/>
        <v>6.2121986240441301E-3</v>
      </c>
      <c r="L52" s="22">
        <v>7207.6</v>
      </c>
      <c r="M52" s="7">
        <f t="shared" si="19"/>
        <v>0</v>
      </c>
      <c r="N52">
        <v>27049.570118998821</v>
      </c>
      <c r="O52" s="11">
        <f t="shared" si="20"/>
        <v>1.3352797902672696E-3</v>
      </c>
      <c r="P52" s="11">
        <f t="shared" si="21"/>
        <v>6.2191588697102064E-3</v>
      </c>
      <c r="Q52" s="22">
        <v>7201.7843809127808</v>
      </c>
      <c r="R52" s="7">
        <f t="shared" si="16"/>
        <v>1</v>
      </c>
      <c r="S52">
        <v>27013.499539</v>
      </c>
      <c r="T52" s="11">
        <f t="shared" si="17"/>
        <v>0</v>
      </c>
      <c r="U52" s="11">
        <f t="shared" si="18"/>
        <v>4.8773664306184048E-3</v>
      </c>
      <c r="V52" s="22">
        <v>7209.8357968330383</v>
      </c>
    </row>
    <row r="53" spans="1:22" x14ac:dyDescent="0.35">
      <c r="A53" s="14" t="s">
        <v>185</v>
      </c>
      <c r="B53" s="13" t="s">
        <v>562</v>
      </c>
      <c r="C53" s="13" t="s">
        <v>578</v>
      </c>
      <c r="D53" s="13">
        <v>1000</v>
      </c>
      <c r="E53" s="13">
        <v>1000</v>
      </c>
      <c r="F53">
        <f t="shared" si="0"/>
        <v>583034.84446099983</v>
      </c>
      <c r="G53" s="15">
        <v>544658.05417999707</v>
      </c>
      <c r="H53" s="7">
        <f t="shared" si="1"/>
        <v>0</v>
      </c>
      <c r="I53">
        <v>587736.39743399969</v>
      </c>
      <c r="J53" s="11">
        <f t="shared" si="2"/>
        <v>8.0639313716255288E-3</v>
      </c>
      <c r="K53" s="11">
        <f t="shared" si="3"/>
        <v>7.9092456126181168E-2</v>
      </c>
      <c r="L53" s="22">
        <v>7208</v>
      </c>
      <c r="M53" s="7">
        <f t="shared" si="19"/>
        <v>0</v>
      </c>
      <c r="N53">
        <v>598666.02960499993</v>
      </c>
      <c r="O53" s="11">
        <f t="shared" si="20"/>
        <v>2.6810035956685779E-2</v>
      </c>
      <c r="P53" s="11">
        <f t="shared" si="21"/>
        <v>9.915941756578607E-2</v>
      </c>
      <c r="Q53" s="22">
        <v>7734.3239631652832</v>
      </c>
      <c r="R53" s="7">
        <f t="shared" si="16"/>
        <v>1</v>
      </c>
      <c r="S53">
        <v>583034.84446099983</v>
      </c>
      <c r="T53" s="11">
        <f t="shared" si="17"/>
        <v>0</v>
      </c>
      <c r="U53" s="11">
        <f t="shared" si="18"/>
        <v>7.0460337429105763E-2</v>
      </c>
      <c r="V53" s="22">
        <v>7208.150356054306</v>
      </c>
    </row>
    <row r="54" spans="1:22" x14ac:dyDescent="0.35">
      <c r="A54" s="14" t="s">
        <v>192</v>
      </c>
      <c r="B54" s="13" t="s">
        <v>562</v>
      </c>
      <c r="C54" s="13" t="s">
        <v>578</v>
      </c>
      <c r="D54" s="13">
        <v>1000</v>
      </c>
      <c r="E54" s="13">
        <v>1000</v>
      </c>
      <c r="F54">
        <f t="shared" si="0"/>
        <v>628967.02175800002</v>
      </c>
      <c r="G54" s="15">
        <v>586539.34925421863</v>
      </c>
      <c r="H54" s="7">
        <f t="shared" si="1"/>
        <v>1</v>
      </c>
      <c r="I54">
        <v>628967.02175800002</v>
      </c>
      <c r="J54" s="11">
        <f t="shared" si="2"/>
        <v>0</v>
      </c>
      <c r="K54" s="11">
        <f t="shared" si="3"/>
        <v>7.233559446220944E-2</v>
      </c>
      <c r="L54" s="22">
        <v>7204.1</v>
      </c>
      <c r="M54" s="7" t="s">
        <v>561</v>
      </c>
      <c r="N54" t="s">
        <v>561</v>
      </c>
      <c r="O54" t="s">
        <v>561</v>
      </c>
      <c r="P54" t="s">
        <v>561</v>
      </c>
      <c r="Q54" s="24" t="s">
        <v>561</v>
      </c>
      <c r="R54" s="7">
        <f t="shared" si="16"/>
        <v>0</v>
      </c>
      <c r="S54">
        <v>640382.56887999992</v>
      </c>
      <c r="T54" s="11">
        <f t="shared" si="17"/>
        <v>1.8149675145276732E-2</v>
      </c>
      <c r="U54" s="11">
        <f t="shared" si="18"/>
        <v>9.1798137148415754E-2</v>
      </c>
      <c r="V54" s="22">
        <v>7207.0232963562012</v>
      </c>
    </row>
    <row r="55" spans="1:22" x14ac:dyDescent="0.35">
      <c r="A55" s="14" t="s">
        <v>203</v>
      </c>
      <c r="B55" s="13" t="s">
        <v>562</v>
      </c>
      <c r="C55" s="13" t="s">
        <v>578</v>
      </c>
      <c r="D55" s="13">
        <v>1000</v>
      </c>
      <c r="E55" s="13">
        <v>1000</v>
      </c>
      <c r="F55">
        <f t="shared" si="0"/>
        <v>633186.08657699986</v>
      </c>
      <c r="G55" s="15">
        <v>589072.09237967141</v>
      </c>
      <c r="H55" s="7">
        <f t="shared" si="1"/>
        <v>0</v>
      </c>
      <c r="I55">
        <v>636354.55050100014</v>
      </c>
      <c r="J55" s="11">
        <f t="shared" si="2"/>
        <v>5.0040011793830927E-3</v>
      </c>
      <c r="K55" s="11">
        <f t="shared" si="3"/>
        <v>8.0265995848355393E-2</v>
      </c>
      <c r="L55" s="22">
        <v>7211.2</v>
      </c>
      <c r="M55" s="7">
        <f>IF(O55&lt;=0.0001,1,0)</f>
        <v>0</v>
      </c>
      <c r="N55">
        <v>633947.33837900008</v>
      </c>
      <c r="O55" s="11">
        <f>(N55-$F55)/$F55</f>
        <v>1.2022560478477027E-3</v>
      </c>
      <c r="P55" s="11">
        <f>(N55-$G55)/$G55</f>
        <v>7.6179548445499054E-2</v>
      </c>
      <c r="Q55" s="22">
        <v>7734.7440986633301</v>
      </c>
      <c r="R55" s="7">
        <f t="shared" si="16"/>
        <v>1</v>
      </c>
      <c r="S55">
        <v>633186.08657699986</v>
      </c>
      <c r="T55" s="11">
        <f t="shared" si="17"/>
        <v>0</v>
      </c>
      <c r="U55" s="11">
        <f t="shared" si="18"/>
        <v>7.4887258737926954E-2</v>
      </c>
      <c r="V55" s="22">
        <v>7212.1489229202271</v>
      </c>
    </row>
    <row r="56" spans="1:22" x14ac:dyDescent="0.35">
      <c r="A56" s="14" t="s">
        <v>214</v>
      </c>
      <c r="B56" s="13" t="s">
        <v>562</v>
      </c>
      <c r="C56" s="13" t="s">
        <v>578</v>
      </c>
      <c r="D56" s="13">
        <v>1000</v>
      </c>
      <c r="E56" s="13">
        <v>1000</v>
      </c>
      <c r="F56">
        <f t="shared" si="0"/>
        <v>605624.09024199983</v>
      </c>
      <c r="G56" s="15">
        <v>572175.12504033395</v>
      </c>
      <c r="H56" s="7">
        <f t="shared" si="1"/>
        <v>0</v>
      </c>
      <c r="I56">
        <v>626994.41238100012</v>
      </c>
      <c r="J56" s="11">
        <f t="shared" si="2"/>
        <v>3.5286446631376527E-2</v>
      </c>
      <c r="K56" s="11">
        <f t="shared" si="3"/>
        <v>9.5808581921141417E-2</v>
      </c>
      <c r="L56" s="22">
        <v>7208.8</v>
      </c>
      <c r="M56" s="7">
        <f>IF(O56&lt;=0.0001,1,0)</f>
        <v>1</v>
      </c>
      <c r="N56">
        <v>605624.09024199983</v>
      </c>
      <c r="O56" s="11">
        <f>(N56-$F56)/$F56</f>
        <v>0</v>
      </c>
      <c r="P56" s="11">
        <f>(N56-$G56)/$G56</f>
        <v>5.8459313832120864E-2</v>
      </c>
      <c r="Q56" s="22">
        <v>7592.1792969703674</v>
      </c>
      <c r="R56" s="7">
        <f t="shared" si="16"/>
        <v>0</v>
      </c>
      <c r="S56">
        <v>606072.05528600013</v>
      </c>
      <c r="T56" s="11">
        <f t="shared" si="17"/>
        <v>7.3967507438698677E-4</v>
      </c>
      <c r="U56" s="11">
        <f t="shared" si="18"/>
        <v>5.9242229803815237E-2</v>
      </c>
      <c r="V56" s="22">
        <v>7209.1306419372559</v>
      </c>
    </row>
    <row r="57" spans="1:22" x14ac:dyDescent="0.35">
      <c r="A57" s="14" t="s">
        <v>216</v>
      </c>
      <c r="B57" s="13" t="s">
        <v>563</v>
      </c>
      <c r="C57" s="13" t="s">
        <v>578</v>
      </c>
      <c r="D57" s="13">
        <v>1000</v>
      </c>
      <c r="E57" s="13">
        <v>4000</v>
      </c>
      <c r="F57">
        <f t="shared" si="0"/>
        <v>990394.84878600028</v>
      </c>
      <c r="G57" s="15">
        <v>944271.95368596842</v>
      </c>
      <c r="H57" s="7">
        <f t="shared" si="1"/>
        <v>1</v>
      </c>
      <c r="I57">
        <v>990394.84878600028</v>
      </c>
      <c r="J57" s="11">
        <f t="shared" si="2"/>
        <v>0</v>
      </c>
      <c r="K57" s="11">
        <f t="shared" si="3"/>
        <v>4.8844927480892558E-2</v>
      </c>
      <c r="L57" s="22">
        <v>4771.5197689533234</v>
      </c>
      <c r="M57" s="7" t="s">
        <v>561</v>
      </c>
      <c r="N57" t="s">
        <v>561</v>
      </c>
      <c r="O57" t="s">
        <v>561</v>
      </c>
      <c r="P57" t="s">
        <v>561</v>
      </c>
      <c r="Q57" s="24" t="s">
        <v>561</v>
      </c>
      <c r="R57" s="7">
        <f t="shared" si="16"/>
        <v>0</v>
      </c>
      <c r="S57">
        <v>994405.13561800076</v>
      </c>
      <c r="T57" s="11">
        <f t="shared" si="17"/>
        <v>4.0491798164299635E-3</v>
      </c>
      <c r="U57" s="11">
        <f t="shared" si="18"/>
        <v>5.3091889191813138E-2</v>
      </c>
      <c r="V57" s="22">
        <v>7255.9726502895364</v>
      </c>
    </row>
    <row r="58" spans="1:22" x14ac:dyDescent="0.35">
      <c r="A58" s="14" t="s">
        <v>217</v>
      </c>
      <c r="B58" s="13" t="s">
        <v>563</v>
      </c>
      <c r="C58" s="13" t="s">
        <v>578</v>
      </c>
      <c r="D58" s="13">
        <v>1000</v>
      </c>
      <c r="E58" s="13">
        <v>4000</v>
      </c>
      <c r="F58">
        <f t="shared" si="0"/>
        <v>588949.19985699991</v>
      </c>
      <c r="G58" s="15">
        <v>566316.99409026303</v>
      </c>
      <c r="H58" s="7">
        <f t="shared" si="1"/>
        <v>1</v>
      </c>
      <c r="I58">
        <v>588949.19985699991</v>
      </c>
      <c r="J58" s="11">
        <f t="shared" si="2"/>
        <v>0</v>
      </c>
      <c r="K58" s="11">
        <f t="shared" si="3"/>
        <v>3.9963847108444042E-2</v>
      </c>
      <c r="L58" s="22">
        <v>1431.1238970756531</v>
      </c>
      <c r="M58" s="7">
        <f t="shared" ref="M58:M64" si="22">IF(O58&lt;=0.0001,1,0)</f>
        <v>0</v>
      </c>
      <c r="N58">
        <v>589877.90083799988</v>
      </c>
      <c r="O58" s="11">
        <f t="shared" ref="O58:O64" si="23">(N58-$F58)/$F58</f>
        <v>1.5768779059814775E-3</v>
      </c>
      <c r="P58" s="11">
        <f t="shared" ref="P58:P64" si="24">(N58-$G58)/$G58</f>
        <v>4.1603743121968843E-2</v>
      </c>
      <c r="Q58" s="22">
        <v>7228.7718100547791</v>
      </c>
      <c r="R58" s="7">
        <f t="shared" si="16"/>
        <v>0</v>
      </c>
      <c r="S58">
        <v>593004.45945400011</v>
      </c>
      <c r="T58" s="11">
        <f t="shared" si="17"/>
        <v>6.8855846955643025E-3</v>
      </c>
      <c r="U58" s="11">
        <f t="shared" si="18"/>
        <v>4.7124606258034114E-2</v>
      </c>
      <c r="V58" s="22">
        <v>3567.401095867157</v>
      </c>
    </row>
    <row r="59" spans="1:22" x14ac:dyDescent="0.35">
      <c r="A59" s="14" t="s">
        <v>218</v>
      </c>
      <c r="B59" s="13" t="s">
        <v>563</v>
      </c>
      <c r="C59" s="13" t="s">
        <v>578</v>
      </c>
      <c r="D59" s="13">
        <v>1000</v>
      </c>
      <c r="E59" s="13">
        <v>4000</v>
      </c>
      <c r="F59">
        <f t="shared" si="0"/>
        <v>349500.84744599921</v>
      </c>
      <c r="G59" s="15">
        <v>340152.58946906391</v>
      </c>
      <c r="H59" s="7">
        <f t="shared" si="1"/>
        <v>0</v>
      </c>
      <c r="I59">
        <v>356309.3094359992</v>
      </c>
      <c r="J59" s="11">
        <f t="shared" si="2"/>
        <v>1.9480530704727248E-2</v>
      </c>
      <c r="K59" s="11">
        <f t="shared" si="3"/>
        <v>4.7498447658898983E-2</v>
      </c>
      <c r="L59" s="22">
        <v>688.72582507133484</v>
      </c>
      <c r="M59" s="7">
        <f t="shared" si="22"/>
        <v>0</v>
      </c>
      <c r="N59">
        <v>404774.13098899968</v>
      </c>
      <c r="O59" s="11">
        <f t="shared" si="23"/>
        <v>0.1581492117885083</v>
      </c>
      <c r="P59" s="11">
        <f t="shared" si="24"/>
        <v>0.18997809665598017</v>
      </c>
      <c r="Q59" s="22">
        <v>5214.7891991138404</v>
      </c>
      <c r="R59" s="7">
        <f t="shared" si="16"/>
        <v>1</v>
      </c>
      <c r="S59">
        <v>349500.84744599921</v>
      </c>
      <c r="T59" s="11">
        <f t="shared" si="17"/>
        <v>0</v>
      </c>
      <c r="U59" s="11">
        <f t="shared" si="18"/>
        <v>2.7482542442280909E-2</v>
      </c>
      <c r="V59" s="22">
        <v>7237.5311839580536</v>
      </c>
    </row>
    <row r="60" spans="1:22" x14ac:dyDescent="0.35">
      <c r="A60" s="14" t="s">
        <v>219</v>
      </c>
      <c r="B60" s="13" t="s">
        <v>563</v>
      </c>
      <c r="C60" s="13" t="s">
        <v>578</v>
      </c>
      <c r="D60" s="13">
        <v>1000</v>
      </c>
      <c r="E60" s="13">
        <v>4000</v>
      </c>
      <c r="F60">
        <f t="shared" si="0"/>
        <v>366956.45517999952</v>
      </c>
      <c r="G60" s="15">
        <v>354549.87610832532</v>
      </c>
      <c r="H60" s="7">
        <f t="shared" si="1"/>
        <v>0</v>
      </c>
      <c r="I60">
        <v>418384.37058599951</v>
      </c>
      <c r="J60" s="11">
        <f t="shared" si="2"/>
        <v>0.14014718825636563</v>
      </c>
      <c r="K60" s="11">
        <f t="shared" si="3"/>
        <v>0.18004376472598427</v>
      </c>
      <c r="L60" s="22">
        <v>764.32537794113159</v>
      </c>
      <c r="M60" s="7">
        <f t="shared" si="22"/>
        <v>0</v>
      </c>
      <c r="N60">
        <v>368976.54922999942</v>
      </c>
      <c r="O60" s="11">
        <f t="shared" si="23"/>
        <v>5.5049966323906224E-3</v>
      </c>
      <c r="P60" s="11">
        <f t="shared" si="24"/>
        <v>4.0690109047637445E-2</v>
      </c>
      <c r="Q60" s="22">
        <v>7218.7327890396118</v>
      </c>
      <c r="R60" s="7">
        <f t="shared" si="16"/>
        <v>1</v>
      </c>
      <c r="S60">
        <v>366956.45517999952</v>
      </c>
      <c r="T60" s="11">
        <f t="shared" si="17"/>
        <v>0</v>
      </c>
      <c r="U60" s="11">
        <f t="shared" si="18"/>
        <v>3.4992478936542157E-2</v>
      </c>
      <c r="V60" s="22">
        <v>7235.3845710754395</v>
      </c>
    </row>
    <row r="61" spans="1:22" x14ac:dyDescent="0.35">
      <c r="A61" s="14" t="s">
        <v>220</v>
      </c>
      <c r="B61" s="13" t="s">
        <v>563</v>
      </c>
      <c r="C61" s="13" t="s">
        <v>578</v>
      </c>
      <c r="D61" s="13">
        <v>1000</v>
      </c>
      <c r="E61" s="13">
        <v>4000</v>
      </c>
      <c r="F61">
        <f t="shared" si="0"/>
        <v>366516.59199599922</v>
      </c>
      <c r="G61" s="15">
        <v>355687.08937083761</v>
      </c>
      <c r="H61" s="7">
        <f t="shared" si="1"/>
        <v>0</v>
      </c>
      <c r="I61">
        <v>431440.97059499909</v>
      </c>
      <c r="J61" s="11">
        <f t="shared" si="2"/>
        <v>0.17713898911214521</v>
      </c>
      <c r="K61" s="11">
        <f t="shared" si="3"/>
        <v>0.21297900173481094</v>
      </c>
      <c r="L61" s="22">
        <v>733.04906105995178</v>
      </c>
      <c r="M61" s="7">
        <f t="shared" si="22"/>
        <v>1</v>
      </c>
      <c r="N61">
        <v>366516.59199599922</v>
      </c>
      <c r="O61" s="11">
        <f t="shared" si="23"/>
        <v>0</v>
      </c>
      <c r="P61" s="11">
        <f t="shared" si="24"/>
        <v>3.0446712711213481E-2</v>
      </c>
      <c r="Q61" s="22">
        <v>7217.8669672012329</v>
      </c>
      <c r="R61" s="7">
        <f t="shared" si="16"/>
        <v>0</v>
      </c>
      <c r="S61">
        <v>372027.03128999908</v>
      </c>
      <c r="T61" s="11">
        <f t="shared" si="17"/>
        <v>1.5034624391738357E-2</v>
      </c>
      <c r="U61" s="11">
        <f t="shared" si="18"/>
        <v>4.5939091992528103E-2</v>
      </c>
      <c r="V61" s="22">
        <v>7234.824937582016</v>
      </c>
    </row>
    <row r="62" spans="1:22" x14ac:dyDescent="0.35">
      <c r="A62" s="14" t="s">
        <v>221</v>
      </c>
      <c r="B62" s="13" t="s">
        <v>563</v>
      </c>
      <c r="C62" s="13" t="s">
        <v>578</v>
      </c>
      <c r="D62" s="13">
        <v>1000</v>
      </c>
      <c r="E62" s="13">
        <v>4000</v>
      </c>
      <c r="F62">
        <f t="shared" si="0"/>
        <v>380232.66475399933</v>
      </c>
      <c r="G62" s="15">
        <v>369913.66228884063</v>
      </c>
      <c r="H62" s="7">
        <f t="shared" si="1"/>
        <v>0</v>
      </c>
      <c r="I62">
        <v>390899.63205499941</v>
      </c>
      <c r="J62" s="11">
        <f t="shared" si="2"/>
        <v>2.8053789928598943E-2</v>
      </c>
      <c r="K62" s="11">
        <f t="shared" si="3"/>
        <v>5.6732075361337307E-2</v>
      </c>
      <c r="L62" s="22">
        <v>1296.997786998749</v>
      </c>
      <c r="M62" s="7">
        <f t="shared" si="22"/>
        <v>0</v>
      </c>
      <c r="N62">
        <v>394253.85368199938</v>
      </c>
      <c r="O62" s="11">
        <f t="shared" si="23"/>
        <v>3.6875287758539613E-2</v>
      </c>
      <c r="P62" s="11">
        <f t="shared" si="24"/>
        <v>6.5799655093985512E-2</v>
      </c>
      <c r="Q62" s="22">
        <v>7231.4057359695425</v>
      </c>
      <c r="R62" s="7">
        <f t="shared" si="16"/>
        <v>1</v>
      </c>
      <c r="S62">
        <v>380232.66475399933</v>
      </c>
      <c r="T62" s="11">
        <f t="shared" si="17"/>
        <v>0</v>
      </c>
      <c r="U62" s="11">
        <f t="shared" si="18"/>
        <v>2.7895705179716471E-2</v>
      </c>
      <c r="V62" s="22">
        <v>3555.355858802795</v>
      </c>
    </row>
    <row r="63" spans="1:22" x14ac:dyDescent="0.35">
      <c r="A63" s="14" t="s">
        <v>222</v>
      </c>
      <c r="B63" s="13" t="s">
        <v>563</v>
      </c>
      <c r="C63" s="13" t="s">
        <v>578</v>
      </c>
      <c r="D63" s="13">
        <v>1000</v>
      </c>
      <c r="E63" s="13">
        <v>4000</v>
      </c>
      <c r="F63">
        <f t="shared" si="0"/>
        <v>370805.68718399922</v>
      </c>
      <c r="G63" s="15">
        <v>360667.27058781369</v>
      </c>
      <c r="H63" s="7">
        <f t="shared" si="1"/>
        <v>0</v>
      </c>
      <c r="I63">
        <v>377718.17599499912</v>
      </c>
      <c r="J63" s="11">
        <f t="shared" si="2"/>
        <v>1.8641809038839857E-2</v>
      </c>
      <c r="K63" s="11">
        <f t="shared" si="3"/>
        <v>4.7275998677107446E-2</v>
      </c>
      <c r="L63" s="22">
        <v>1413.7082757949829</v>
      </c>
      <c r="M63" s="7">
        <f t="shared" si="22"/>
        <v>0</v>
      </c>
      <c r="N63">
        <v>373334.23012999911</v>
      </c>
      <c r="O63" s="11">
        <f t="shared" si="23"/>
        <v>6.8190511456346272E-3</v>
      </c>
      <c r="P63" s="11">
        <f t="shared" si="24"/>
        <v>3.512090110516785E-2</v>
      </c>
      <c r="Q63" s="22">
        <v>7217.8988695144653</v>
      </c>
      <c r="R63" s="7">
        <f t="shared" si="16"/>
        <v>1</v>
      </c>
      <c r="S63">
        <v>370805.68718399922</v>
      </c>
      <c r="T63" s="11">
        <f t="shared" si="17"/>
        <v>0</v>
      </c>
      <c r="U63" s="11">
        <f t="shared" si="18"/>
        <v>2.8110165304608851E-2</v>
      </c>
      <c r="V63" s="22">
        <v>7232.304735660553</v>
      </c>
    </row>
    <row r="64" spans="1:22" x14ac:dyDescent="0.35">
      <c r="A64" s="14" t="s">
        <v>223</v>
      </c>
      <c r="B64" s="13" t="s">
        <v>563</v>
      </c>
      <c r="C64" s="13" t="s">
        <v>578</v>
      </c>
      <c r="D64" s="13">
        <v>1000</v>
      </c>
      <c r="E64" s="13">
        <v>4000</v>
      </c>
      <c r="F64">
        <f t="shared" si="0"/>
        <v>116087.5678140001</v>
      </c>
      <c r="G64" s="15">
        <v>114134.3910902858</v>
      </c>
      <c r="H64" s="7">
        <f t="shared" si="1"/>
        <v>0</v>
      </c>
      <c r="I64">
        <v>119951.1874790001</v>
      </c>
      <c r="J64" s="11">
        <f t="shared" si="2"/>
        <v>3.3281941707922105E-2</v>
      </c>
      <c r="K64" s="11">
        <f t="shared" si="3"/>
        <v>5.0964449305318772E-2</v>
      </c>
      <c r="L64" s="22">
        <v>1088.866369962692</v>
      </c>
      <c r="M64" s="7">
        <f t="shared" si="22"/>
        <v>0</v>
      </c>
      <c r="N64">
        <v>136068.993926</v>
      </c>
      <c r="O64" s="11">
        <f t="shared" si="23"/>
        <v>0.17212373803898534</v>
      </c>
      <c r="P64" s="11">
        <f t="shared" si="24"/>
        <v>0.19218223907956772</v>
      </c>
      <c r="Q64" s="22">
        <v>7221.3751254081726</v>
      </c>
      <c r="R64" s="7">
        <f t="shared" si="16"/>
        <v>1</v>
      </c>
      <c r="S64">
        <v>116087.5678140001</v>
      </c>
      <c r="T64" s="11">
        <f t="shared" si="17"/>
        <v>0</v>
      </c>
      <c r="U64" s="11">
        <f t="shared" si="18"/>
        <v>1.7112955219336434E-2</v>
      </c>
      <c r="V64" s="22">
        <v>7233.8444755077362</v>
      </c>
    </row>
    <row r="65" spans="1:22" x14ac:dyDescent="0.35">
      <c r="A65" s="14" t="s">
        <v>224</v>
      </c>
      <c r="B65" s="13" t="s">
        <v>563</v>
      </c>
      <c r="C65" s="13" t="s">
        <v>578</v>
      </c>
      <c r="D65" s="13">
        <v>1000</v>
      </c>
      <c r="E65" s="13">
        <v>4000</v>
      </c>
      <c r="F65">
        <f t="shared" si="0"/>
        <v>119280.58876</v>
      </c>
      <c r="G65" s="15">
        <v>116493.4614702973</v>
      </c>
      <c r="H65" s="7">
        <f t="shared" si="1"/>
        <v>0</v>
      </c>
      <c r="I65">
        <v>121308.71775900001</v>
      </c>
      <c r="J65" s="11">
        <f t="shared" si="2"/>
        <v>1.7003009626995805E-2</v>
      </c>
      <c r="K65" s="11">
        <f t="shared" si="3"/>
        <v>4.1334991920816619E-2</v>
      </c>
      <c r="L65" s="22">
        <v>1120.3140420913701</v>
      </c>
      <c r="M65" s="7" t="s">
        <v>561</v>
      </c>
      <c r="N65" t="s">
        <v>561</v>
      </c>
      <c r="O65" t="s">
        <v>561</v>
      </c>
      <c r="P65" t="s">
        <v>561</v>
      </c>
      <c r="Q65" s="24" t="s">
        <v>561</v>
      </c>
      <c r="R65" s="7">
        <f t="shared" si="16"/>
        <v>1</v>
      </c>
      <c r="S65">
        <v>119280.58876</v>
      </c>
      <c r="T65" s="11">
        <f t="shared" si="17"/>
        <v>0</v>
      </c>
      <c r="U65" s="11">
        <f t="shared" si="18"/>
        <v>2.3925182190704636E-2</v>
      </c>
      <c r="V65" s="22">
        <v>7229.4410817623138</v>
      </c>
    </row>
    <row r="66" spans="1:22" x14ac:dyDescent="0.35">
      <c r="A66" s="14" t="s">
        <v>225</v>
      </c>
      <c r="B66" s="13" t="s">
        <v>563</v>
      </c>
      <c r="C66" s="13" t="s">
        <v>578</v>
      </c>
      <c r="D66" s="13">
        <v>1000</v>
      </c>
      <c r="E66" s="13">
        <v>4000</v>
      </c>
      <c r="F66">
        <f t="shared" ref="F66:F129" si="25">MIN(I66,N66,S66)</f>
        <v>122018.43109300009</v>
      </c>
      <c r="G66" s="15">
        <v>119719.744100882</v>
      </c>
      <c r="H66" s="7">
        <f t="shared" ref="H66:H129" si="26">IF(J66&lt;=0.0001,1,0)</f>
        <v>0</v>
      </c>
      <c r="I66">
        <v>125981.9185380001</v>
      </c>
      <c r="J66" s="11">
        <f t="shared" ref="J66:J129" si="27">(I66-$F66)/$F66</f>
        <v>3.2482694700271243E-2</v>
      </c>
      <c r="K66" s="11">
        <f t="shared" ref="K66:K129" si="28">(I66-$G66)/$G66</f>
        <v>5.2306948065652961E-2</v>
      </c>
      <c r="L66" s="22">
        <v>957.72017598152161</v>
      </c>
      <c r="M66" s="7">
        <f>IF(O66&lt;=0.0001,1,0)</f>
        <v>0</v>
      </c>
      <c r="N66">
        <v>122171.145976</v>
      </c>
      <c r="O66" s="11">
        <f>(N66-$F66)/$F66</f>
        <v>1.2515722553710729E-3</v>
      </c>
      <c r="P66" s="11">
        <f>(N66-$G66)/$G66</f>
        <v>2.0476170355428761E-2</v>
      </c>
      <c r="Q66" s="22">
        <v>7216.055415391922</v>
      </c>
      <c r="R66" s="7">
        <f t="shared" ref="R66:R97" si="29">IF(T66&lt;=0.0001,1,0)</f>
        <v>1</v>
      </c>
      <c r="S66">
        <v>122018.43109300009</v>
      </c>
      <c r="T66" s="11">
        <f t="shared" ref="T66:T97" si="30">(S66-$F66)/$F66</f>
        <v>0</v>
      </c>
      <c r="U66" s="11">
        <f t="shared" ref="U66:U97" si="31">(S66-$G66)/$G66</f>
        <v>1.9200567202859203E-2</v>
      </c>
      <c r="V66" s="22">
        <v>7233.1081240177155</v>
      </c>
    </row>
    <row r="67" spans="1:22" x14ac:dyDescent="0.35">
      <c r="A67" s="14" t="s">
        <v>226</v>
      </c>
      <c r="B67" s="13" t="s">
        <v>563</v>
      </c>
      <c r="C67" s="13" t="s">
        <v>578</v>
      </c>
      <c r="D67" s="13">
        <v>1000</v>
      </c>
      <c r="E67" s="13">
        <v>4000</v>
      </c>
      <c r="F67">
        <f t="shared" si="25"/>
        <v>116436.550487</v>
      </c>
      <c r="G67" s="15">
        <v>113980.7548815757</v>
      </c>
      <c r="H67" s="7">
        <f t="shared" si="26"/>
        <v>0</v>
      </c>
      <c r="I67">
        <v>117496.299079</v>
      </c>
      <c r="J67" s="11">
        <f t="shared" si="27"/>
        <v>9.1015114031424618E-3</v>
      </c>
      <c r="K67" s="11">
        <f t="shared" si="28"/>
        <v>3.0843313865370502E-2</v>
      </c>
      <c r="L67" s="22">
        <v>1104.9994947910311</v>
      </c>
      <c r="M67" s="7">
        <f>IF(O67&lt;=0.0001,1,0)</f>
        <v>0</v>
      </c>
      <c r="N67">
        <v>117456.971582</v>
      </c>
      <c r="O67" s="11">
        <f>(N67-$F67)/$F67</f>
        <v>8.7637523675516884E-3</v>
      </c>
      <c r="P67" s="11">
        <f>(N67-$G67)/$G67</f>
        <v>3.049827757357838E-2</v>
      </c>
      <c r="Q67" s="22">
        <v>7214.756646156311</v>
      </c>
      <c r="R67" s="7">
        <f t="shared" si="29"/>
        <v>1</v>
      </c>
      <c r="S67">
        <v>116436.550487</v>
      </c>
      <c r="T67" s="11">
        <f t="shared" si="30"/>
        <v>0</v>
      </c>
      <c r="U67" s="11">
        <f t="shared" si="31"/>
        <v>2.1545703991659219E-2</v>
      </c>
      <c r="V67" s="22">
        <v>7228.258410692215</v>
      </c>
    </row>
    <row r="68" spans="1:22" x14ac:dyDescent="0.35">
      <c r="A68" s="14" t="s">
        <v>227</v>
      </c>
      <c r="B68" s="13" t="s">
        <v>563</v>
      </c>
      <c r="C68" s="13" t="s">
        <v>578</v>
      </c>
      <c r="D68" s="13">
        <v>1000</v>
      </c>
      <c r="E68" s="13">
        <v>4000</v>
      </c>
      <c r="F68">
        <f t="shared" si="25"/>
        <v>1023765.3214920009</v>
      </c>
      <c r="G68" s="15">
        <v>970029.49896323821</v>
      </c>
      <c r="H68" s="7">
        <f t="shared" si="26"/>
        <v>0</v>
      </c>
      <c r="I68">
        <v>1039763.6016710009</v>
      </c>
      <c r="J68" s="11">
        <f t="shared" si="27"/>
        <v>1.5626901833014465E-2</v>
      </c>
      <c r="K68" s="11">
        <f t="shared" si="28"/>
        <v>7.188864130657277E-2</v>
      </c>
      <c r="L68" s="22">
        <v>2512.2646808624272</v>
      </c>
      <c r="M68" s="7" t="s">
        <v>561</v>
      </c>
      <c r="N68" t="s">
        <v>561</v>
      </c>
      <c r="O68" t="s">
        <v>561</v>
      </c>
      <c r="P68" t="s">
        <v>561</v>
      </c>
      <c r="Q68" s="24" t="s">
        <v>561</v>
      </c>
      <c r="R68" s="7">
        <f t="shared" si="29"/>
        <v>1</v>
      </c>
      <c r="S68">
        <v>1023765.3214920009</v>
      </c>
      <c r="T68" s="11">
        <f t="shared" si="30"/>
        <v>0</v>
      </c>
      <c r="U68" s="11">
        <f t="shared" si="31"/>
        <v>5.5396070517644329E-2</v>
      </c>
      <c r="V68" s="22">
        <v>1822.851120233536</v>
      </c>
    </row>
    <row r="69" spans="1:22" x14ac:dyDescent="0.35">
      <c r="A69" s="14" t="s">
        <v>228</v>
      </c>
      <c r="B69" s="13" t="s">
        <v>563</v>
      </c>
      <c r="C69" s="13" t="s">
        <v>578</v>
      </c>
      <c r="D69" s="13">
        <v>1000</v>
      </c>
      <c r="E69" s="13">
        <v>4000</v>
      </c>
      <c r="F69">
        <f t="shared" si="25"/>
        <v>122705.868267</v>
      </c>
      <c r="G69" s="15">
        <v>119752.63675483171</v>
      </c>
      <c r="H69" s="7">
        <f t="shared" si="26"/>
        <v>0</v>
      </c>
      <c r="I69">
        <v>126856.523755</v>
      </c>
      <c r="J69" s="11">
        <f t="shared" si="27"/>
        <v>3.3826055319281449E-2</v>
      </c>
      <c r="K69" s="11">
        <f t="shared" si="28"/>
        <v>5.9321340996541121E-2</v>
      </c>
      <c r="L69" s="22">
        <v>1036.245401859283</v>
      </c>
      <c r="M69" s="7" t="s">
        <v>561</v>
      </c>
      <c r="N69" t="s">
        <v>561</v>
      </c>
      <c r="O69" t="s">
        <v>561</v>
      </c>
      <c r="P69" t="s">
        <v>561</v>
      </c>
      <c r="Q69" s="24" t="s">
        <v>561</v>
      </c>
      <c r="R69" s="7">
        <f t="shared" si="29"/>
        <v>1</v>
      </c>
      <c r="S69">
        <v>122705.868267</v>
      </c>
      <c r="T69" s="11">
        <f t="shared" si="30"/>
        <v>0</v>
      </c>
      <c r="U69" s="11">
        <f t="shared" si="31"/>
        <v>2.4661098011682286E-2</v>
      </c>
      <c r="V69" s="22">
        <v>7220.6340577602386</v>
      </c>
    </row>
    <row r="70" spans="1:22" x14ac:dyDescent="0.35">
      <c r="A70" s="14" t="s">
        <v>229</v>
      </c>
      <c r="B70" s="13" t="s">
        <v>563</v>
      </c>
      <c r="C70" s="13" t="s">
        <v>578</v>
      </c>
      <c r="D70" s="13">
        <v>1000</v>
      </c>
      <c r="E70" s="13">
        <v>4000</v>
      </c>
      <c r="F70">
        <f t="shared" si="25"/>
        <v>75133.813325999974</v>
      </c>
      <c r="G70" s="15">
        <v>74133.766247508756</v>
      </c>
      <c r="H70" s="7">
        <f t="shared" si="26"/>
        <v>0</v>
      </c>
      <c r="I70">
        <v>77668.306087000004</v>
      </c>
      <c r="J70" s="11">
        <f t="shared" si="27"/>
        <v>3.3733051056560333E-2</v>
      </c>
      <c r="K70" s="11">
        <f t="shared" si="28"/>
        <v>4.7677866893886901E-2</v>
      </c>
      <c r="L70" s="22">
        <v>710.82239198684692</v>
      </c>
      <c r="M70" s="7">
        <f t="shared" ref="M70:M78" si="32">IF(O70&lt;=0.0001,1,0)</f>
        <v>0</v>
      </c>
      <c r="N70">
        <v>75326.462042999992</v>
      </c>
      <c r="O70" s="11">
        <f t="shared" ref="O70:O78" si="33">(N70-$F70)/$F70</f>
        <v>2.564074794981188E-3</v>
      </c>
      <c r="P70" s="11">
        <f t="shared" ref="P70:P78" si="34">(N70-$G70)/$G70</f>
        <v>1.6088428470087558E-2</v>
      </c>
      <c r="Q70" s="22">
        <v>7214.7187602519989</v>
      </c>
      <c r="R70" s="7">
        <f t="shared" si="29"/>
        <v>1</v>
      </c>
      <c r="S70">
        <v>75133.813325999974</v>
      </c>
      <c r="T70" s="11">
        <f t="shared" si="30"/>
        <v>0</v>
      </c>
      <c r="U70" s="11">
        <f t="shared" si="31"/>
        <v>1.3489764908913203E-2</v>
      </c>
      <c r="V70" s="22">
        <v>7221.291885137558</v>
      </c>
    </row>
    <row r="71" spans="1:22" x14ac:dyDescent="0.35">
      <c r="A71" s="14" t="s">
        <v>230</v>
      </c>
      <c r="B71" s="13" t="s">
        <v>563</v>
      </c>
      <c r="C71" s="13" t="s">
        <v>578</v>
      </c>
      <c r="D71" s="13">
        <v>1000</v>
      </c>
      <c r="E71" s="13">
        <v>4000</v>
      </c>
      <c r="F71">
        <f t="shared" si="25"/>
        <v>73351.090263999999</v>
      </c>
      <c r="G71" s="15">
        <v>72421.707996756231</v>
      </c>
      <c r="H71" s="7">
        <f t="shared" si="26"/>
        <v>0</v>
      </c>
      <c r="I71">
        <v>75877.384435000014</v>
      </c>
      <c r="J71" s="11">
        <f t="shared" si="27"/>
        <v>3.4441126395089131E-2</v>
      </c>
      <c r="K71" s="11">
        <f t="shared" si="28"/>
        <v>4.7716030646481895E-2</v>
      </c>
      <c r="L71" s="22">
        <v>705.31670689582825</v>
      </c>
      <c r="M71" s="7">
        <f t="shared" si="32"/>
        <v>0</v>
      </c>
      <c r="N71">
        <v>73366.151542000036</v>
      </c>
      <c r="O71" s="11">
        <f t="shared" si="33"/>
        <v>2.053313447125318E-4</v>
      </c>
      <c r="P71" s="11">
        <f t="shared" si="34"/>
        <v>1.3040890243656036E-2</v>
      </c>
      <c r="Q71" s="22">
        <v>7214.0240042209634</v>
      </c>
      <c r="R71" s="7">
        <f t="shared" si="29"/>
        <v>1</v>
      </c>
      <c r="S71">
        <v>73351.090263999999</v>
      </c>
      <c r="T71" s="11">
        <f t="shared" si="30"/>
        <v>0</v>
      </c>
      <c r="U71" s="11">
        <f t="shared" si="31"/>
        <v>1.2832923897423054E-2</v>
      </c>
      <c r="V71" s="22">
        <v>7231.8540644645691</v>
      </c>
    </row>
    <row r="72" spans="1:22" x14ac:dyDescent="0.35">
      <c r="A72" s="14" t="s">
        <v>231</v>
      </c>
      <c r="B72" s="13" t="s">
        <v>563</v>
      </c>
      <c r="C72" s="13" t="s">
        <v>578</v>
      </c>
      <c r="D72" s="13">
        <v>1000</v>
      </c>
      <c r="E72" s="13">
        <v>4000</v>
      </c>
      <c r="F72">
        <f t="shared" si="25"/>
        <v>76666.741324000002</v>
      </c>
      <c r="G72" s="15">
        <v>75910.537792190691</v>
      </c>
      <c r="H72" s="7">
        <f t="shared" si="26"/>
        <v>0</v>
      </c>
      <c r="I72">
        <v>80036.276938000039</v>
      </c>
      <c r="J72" s="11">
        <f t="shared" si="27"/>
        <v>4.3950421731896755E-2</v>
      </c>
      <c r="K72" s="11">
        <f t="shared" si="28"/>
        <v>5.4350018664125234E-2</v>
      </c>
      <c r="L72" s="22">
        <v>1251.843658924103</v>
      </c>
      <c r="M72" s="7">
        <f t="shared" si="32"/>
        <v>0</v>
      </c>
      <c r="N72">
        <v>76702.849251000036</v>
      </c>
      <c r="O72" s="11">
        <f t="shared" si="33"/>
        <v>4.7097250224107707E-4</v>
      </c>
      <c r="P72" s="11">
        <f t="shared" si="34"/>
        <v>1.0437437039088584E-2</v>
      </c>
      <c r="Q72" s="22">
        <v>7214.1582813262939</v>
      </c>
      <c r="R72" s="7">
        <f t="shared" si="29"/>
        <v>1</v>
      </c>
      <c r="S72">
        <v>76666.741324000002</v>
      </c>
      <c r="T72" s="11">
        <f t="shared" si="30"/>
        <v>0</v>
      </c>
      <c r="U72" s="11">
        <f t="shared" si="31"/>
        <v>9.961772815777703E-3</v>
      </c>
      <c r="V72" s="22">
        <v>7213.2198925018311</v>
      </c>
    </row>
    <row r="73" spans="1:22" x14ac:dyDescent="0.35">
      <c r="A73" s="14" t="s">
        <v>232</v>
      </c>
      <c r="B73" s="13" t="s">
        <v>563</v>
      </c>
      <c r="C73" s="13" t="s">
        <v>578</v>
      </c>
      <c r="D73" s="13">
        <v>1000</v>
      </c>
      <c r="E73" s="13">
        <v>4000</v>
      </c>
      <c r="F73">
        <f t="shared" si="25"/>
        <v>73058.176205999989</v>
      </c>
      <c r="G73" s="15">
        <v>72070.306490571806</v>
      </c>
      <c r="H73" s="7">
        <f t="shared" si="26"/>
        <v>0</v>
      </c>
      <c r="I73">
        <v>75012.648516999994</v>
      </c>
      <c r="J73" s="11">
        <f t="shared" si="27"/>
        <v>2.6752273496248209E-2</v>
      </c>
      <c r="K73" s="11">
        <f t="shared" si="28"/>
        <v>4.0825995749207811E-2</v>
      </c>
      <c r="L73" s="22">
        <v>738.71873092651367</v>
      </c>
      <c r="M73" s="7">
        <f t="shared" si="32"/>
        <v>0</v>
      </c>
      <c r="N73">
        <v>76673.460086999985</v>
      </c>
      <c r="O73" s="11">
        <f t="shared" si="33"/>
        <v>4.9485000430425287E-2</v>
      </c>
      <c r="P73" s="11">
        <f t="shared" si="34"/>
        <v>6.3870320810004613E-2</v>
      </c>
      <c r="Q73" s="22">
        <v>7208.5464701652527</v>
      </c>
      <c r="R73" s="7">
        <f t="shared" si="29"/>
        <v>1</v>
      </c>
      <c r="S73">
        <v>73058.176205999989</v>
      </c>
      <c r="T73" s="11">
        <f t="shared" si="30"/>
        <v>0</v>
      </c>
      <c r="U73" s="11">
        <f t="shared" si="31"/>
        <v>1.3707028088709683E-2</v>
      </c>
      <c r="V73" s="22">
        <v>7245.1191778182983</v>
      </c>
    </row>
    <row r="74" spans="1:22" x14ac:dyDescent="0.35">
      <c r="A74" s="14" t="s">
        <v>233</v>
      </c>
      <c r="B74" s="13" t="s">
        <v>563</v>
      </c>
      <c r="C74" s="13" t="s">
        <v>578</v>
      </c>
      <c r="D74" s="13">
        <v>1000</v>
      </c>
      <c r="E74" s="13">
        <v>4000</v>
      </c>
      <c r="F74">
        <f t="shared" si="25"/>
        <v>73750.161173</v>
      </c>
      <c r="G74" s="15">
        <v>73071.260778837473</v>
      </c>
      <c r="H74" s="7">
        <f t="shared" si="26"/>
        <v>0</v>
      </c>
      <c r="I74">
        <v>76836.144627000031</v>
      </c>
      <c r="J74" s="11">
        <f t="shared" si="27"/>
        <v>4.1843751998874433E-2</v>
      </c>
      <c r="K74" s="11">
        <f t="shared" si="28"/>
        <v>5.1523455432876883E-2</v>
      </c>
      <c r="L74" s="22">
        <v>1042.2295551300051</v>
      </c>
      <c r="M74" s="7">
        <f t="shared" si="32"/>
        <v>0</v>
      </c>
      <c r="N74">
        <v>74042.660982000016</v>
      </c>
      <c r="O74" s="11">
        <f t="shared" si="33"/>
        <v>3.9660904376043566E-3</v>
      </c>
      <c r="P74" s="11">
        <f t="shared" si="34"/>
        <v>1.3293874949039806E-2</v>
      </c>
      <c r="Q74" s="22">
        <v>7210.6685886383057</v>
      </c>
      <c r="R74" s="7">
        <f t="shared" si="29"/>
        <v>1</v>
      </c>
      <c r="S74">
        <v>73750.161173</v>
      </c>
      <c r="T74" s="11">
        <f t="shared" si="30"/>
        <v>0</v>
      </c>
      <c r="U74" s="11">
        <f t="shared" si="31"/>
        <v>9.290935819724443E-3</v>
      </c>
      <c r="V74" s="22">
        <v>7214.9762368202209</v>
      </c>
    </row>
    <row r="75" spans="1:22" x14ac:dyDescent="0.35">
      <c r="A75" s="14" t="s">
        <v>234</v>
      </c>
      <c r="B75" s="13" t="s">
        <v>563</v>
      </c>
      <c r="C75" s="13" t="s">
        <v>578</v>
      </c>
      <c r="D75" s="13">
        <v>1000</v>
      </c>
      <c r="E75" s="13">
        <v>4000</v>
      </c>
      <c r="F75">
        <f t="shared" si="25"/>
        <v>55637.126046999983</v>
      </c>
      <c r="G75" s="15">
        <v>55492.702456838429</v>
      </c>
      <c r="H75" s="7">
        <f t="shared" si="26"/>
        <v>0</v>
      </c>
      <c r="I75">
        <v>56230.540474999987</v>
      </c>
      <c r="J75" s="11">
        <f t="shared" si="27"/>
        <v>1.0665799442960287E-2</v>
      </c>
      <c r="K75" s="11">
        <f t="shared" si="28"/>
        <v>1.3296126976973941E-2</v>
      </c>
      <c r="L75" s="22">
        <v>2638.966059923172</v>
      </c>
      <c r="M75" s="7">
        <f t="shared" si="32"/>
        <v>0</v>
      </c>
      <c r="N75">
        <v>55692.430396999967</v>
      </c>
      <c r="O75" s="11">
        <f t="shared" si="33"/>
        <v>9.9401881314403447E-4</v>
      </c>
      <c r="P75" s="11">
        <f t="shared" si="34"/>
        <v>3.5991748701891726E-3</v>
      </c>
      <c r="Q75" s="22">
        <v>7214.8033435344696</v>
      </c>
      <c r="R75" s="7">
        <f t="shared" si="29"/>
        <v>1</v>
      </c>
      <c r="S75">
        <v>55637.126046999983</v>
      </c>
      <c r="T75" s="11">
        <f t="shared" si="30"/>
        <v>0</v>
      </c>
      <c r="U75" s="11">
        <f t="shared" si="31"/>
        <v>2.6025690544425159E-3</v>
      </c>
      <c r="V75" s="22">
        <v>7258.2909643650046</v>
      </c>
    </row>
    <row r="76" spans="1:22" x14ac:dyDescent="0.35">
      <c r="A76" s="14" t="s">
        <v>235</v>
      </c>
      <c r="B76" s="13" t="s">
        <v>563</v>
      </c>
      <c r="C76" s="13" t="s">
        <v>578</v>
      </c>
      <c r="D76" s="13">
        <v>1000</v>
      </c>
      <c r="E76" s="13">
        <v>4000</v>
      </c>
      <c r="F76">
        <f t="shared" si="25"/>
        <v>58345.108533000021</v>
      </c>
      <c r="G76" s="15">
        <v>58083.078097449274</v>
      </c>
      <c r="H76" s="7">
        <f t="shared" si="26"/>
        <v>0</v>
      </c>
      <c r="I76">
        <v>59107.770234000011</v>
      </c>
      <c r="J76" s="11">
        <f t="shared" si="27"/>
        <v>1.3071561955680109E-2</v>
      </c>
      <c r="K76" s="11">
        <f t="shared" si="28"/>
        <v>1.7641835972114852E-2</v>
      </c>
      <c r="L76" s="22">
        <v>2264.8021440505981</v>
      </c>
      <c r="M76" s="7">
        <f t="shared" si="32"/>
        <v>1</v>
      </c>
      <c r="N76">
        <v>58345.108533000021</v>
      </c>
      <c r="O76" s="11">
        <f t="shared" si="33"/>
        <v>0</v>
      </c>
      <c r="P76" s="11">
        <f t="shared" si="34"/>
        <v>4.5113042237727762E-3</v>
      </c>
      <c r="Q76" s="22">
        <v>7212.8520851135254</v>
      </c>
      <c r="R76" s="7">
        <f t="shared" si="29"/>
        <v>1</v>
      </c>
      <c r="S76">
        <v>58348.771892999997</v>
      </c>
      <c r="T76" s="11">
        <f t="shared" si="30"/>
        <v>6.2787782765110834E-5</v>
      </c>
      <c r="U76" s="11">
        <f t="shared" si="31"/>
        <v>4.5743752613274765E-3</v>
      </c>
      <c r="V76" s="22">
        <v>7218.1947796344757</v>
      </c>
    </row>
    <row r="77" spans="1:22" x14ac:dyDescent="0.35">
      <c r="A77" s="14" t="s">
        <v>236</v>
      </c>
      <c r="B77" s="13" t="s">
        <v>563</v>
      </c>
      <c r="C77" s="13" t="s">
        <v>578</v>
      </c>
      <c r="D77" s="13">
        <v>1000</v>
      </c>
      <c r="E77" s="13">
        <v>4000</v>
      </c>
      <c r="F77">
        <f t="shared" si="25"/>
        <v>55917.137699000014</v>
      </c>
      <c r="G77" s="15">
        <v>55766.178536586413</v>
      </c>
      <c r="H77" s="7">
        <f t="shared" si="26"/>
        <v>0</v>
      </c>
      <c r="I77">
        <v>56500.619273000011</v>
      </c>
      <c r="J77" s="11">
        <f t="shared" si="27"/>
        <v>1.0434753959347105E-2</v>
      </c>
      <c r="K77" s="11">
        <f t="shared" si="28"/>
        <v>1.3170002960338326E-2</v>
      </c>
      <c r="L77" s="22">
        <v>1680.0736200809481</v>
      </c>
      <c r="M77" s="7">
        <f t="shared" si="32"/>
        <v>1</v>
      </c>
      <c r="N77">
        <v>55917.137699000014</v>
      </c>
      <c r="O77" s="11">
        <f t="shared" si="33"/>
        <v>0</v>
      </c>
      <c r="P77" s="11">
        <f t="shared" si="34"/>
        <v>2.7070021001091463E-3</v>
      </c>
      <c r="Q77" s="22">
        <v>7208.901967048645</v>
      </c>
      <c r="R77" s="7">
        <f t="shared" si="29"/>
        <v>0</v>
      </c>
      <c r="S77">
        <v>55956.493749000023</v>
      </c>
      <c r="T77" s="11">
        <f t="shared" si="30"/>
        <v>7.0382805020996692E-4</v>
      </c>
      <c r="U77" s="11">
        <f t="shared" si="31"/>
        <v>3.412735414329147E-3</v>
      </c>
      <c r="V77" s="22">
        <v>7216.1775116920471</v>
      </c>
    </row>
    <row r="78" spans="1:22" x14ac:dyDescent="0.35">
      <c r="A78" s="14" t="s">
        <v>237</v>
      </c>
      <c r="B78" s="13" t="s">
        <v>563</v>
      </c>
      <c r="C78" s="13" t="s">
        <v>578</v>
      </c>
      <c r="D78" s="13">
        <v>1000</v>
      </c>
      <c r="E78" s="13">
        <v>4000</v>
      </c>
      <c r="F78">
        <f t="shared" si="25"/>
        <v>55919.045189999983</v>
      </c>
      <c r="G78" s="15">
        <v>55740.675365356597</v>
      </c>
      <c r="H78" s="7">
        <f t="shared" si="26"/>
        <v>0</v>
      </c>
      <c r="I78">
        <v>56314.175547000013</v>
      </c>
      <c r="J78" s="11">
        <f t="shared" si="27"/>
        <v>7.0661141594508519E-3</v>
      </c>
      <c r="K78" s="11">
        <f t="shared" si="28"/>
        <v>1.0288719644754292E-2</v>
      </c>
      <c r="L78" s="22">
        <v>2052.7299430370331</v>
      </c>
      <c r="M78" s="7">
        <f t="shared" si="32"/>
        <v>1</v>
      </c>
      <c r="N78">
        <v>55919.045189999983</v>
      </c>
      <c r="O78" s="11">
        <f t="shared" si="33"/>
        <v>0</v>
      </c>
      <c r="P78" s="11">
        <f t="shared" si="34"/>
        <v>3.1999939626537743E-3</v>
      </c>
      <c r="Q78" s="22">
        <v>7336.9331469535828</v>
      </c>
      <c r="R78" s="7">
        <f t="shared" si="29"/>
        <v>0</v>
      </c>
      <c r="S78">
        <v>55925.441254000063</v>
      </c>
      <c r="T78" s="11">
        <f t="shared" si="30"/>
        <v>1.1438077989973126E-4</v>
      </c>
      <c r="U78" s="11">
        <f t="shared" si="31"/>
        <v>3.3147407603586281E-3</v>
      </c>
      <c r="V78" s="22">
        <v>7259.5982656478882</v>
      </c>
    </row>
    <row r="79" spans="1:22" x14ac:dyDescent="0.35">
      <c r="A79" s="14" t="s">
        <v>238</v>
      </c>
      <c r="B79" s="13" t="s">
        <v>563</v>
      </c>
      <c r="C79" s="13" t="s">
        <v>578</v>
      </c>
      <c r="D79" s="13">
        <v>1000</v>
      </c>
      <c r="E79" s="13">
        <v>4000</v>
      </c>
      <c r="F79">
        <f t="shared" si="25"/>
        <v>974037.99234000058</v>
      </c>
      <c r="G79" s="15">
        <v>933385.1485464524</v>
      </c>
      <c r="H79" s="7">
        <f t="shared" si="26"/>
        <v>1</v>
      </c>
      <c r="I79">
        <v>974037.99234000058</v>
      </c>
      <c r="J79" s="11">
        <f t="shared" si="27"/>
        <v>0</v>
      </c>
      <c r="K79" s="11">
        <f t="shared" si="28"/>
        <v>4.3554200382185514E-2</v>
      </c>
      <c r="L79" s="22">
        <v>4103.4691848754883</v>
      </c>
      <c r="M79" s="7" t="s">
        <v>561</v>
      </c>
      <c r="N79" t="s">
        <v>561</v>
      </c>
      <c r="O79" t="s">
        <v>561</v>
      </c>
      <c r="P79" t="s">
        <v>561</v>
      </c>
      <c r="Q79" s="24" t="s">
        <v>561</v>
      </c>
      <c r="R79" s="7">
        <f t="shared" si="29"/>
        <v>0</v>
      </c>
      <c r="S79">
        <v>985376.70001500077</v>
      </c>
      <c r="T79" s="11">
        <f t="shared" si="30"/>
        <v>1.1640929577870371E-2</v>
      </c>
      <c r="U79" s="11">
        <f t="shared" si="31"/>
        <v>5.5702141339525363E-2</v>
      </c>
      <c r="V79" s="22">
        <v>1773.918060064316</v>
      </c>
    </row>
    <row r="80" spans="1:22" x14ac:dyDescent="0.35">
      <c r="A80" s="14" t="s">
        <v>239</v>
      </c>
      <c r="B80" s="13" t="s">
        <v>563</v>
      </c>
      <c r="C80" s="13" t="s">
        <v>578</v>
      </c>
      <c r="D80" s="13">
        <v>1000</v>
      </c>
      <c r="E80" s="13">
        <v>4000</v>
      </c>
      <c r="F80">
        <f t="shared" si="25"/>
        <v>55018.494830999989</v>
      </c>
      <c r="G80" s="15">
        <v>54831.426834216792</v>
      </c>
      <c r="H80" s="7">
        <f t="shared" si="26"/>
        <v>0</v>
      </c>
      <c r="I80">
        <v>55422.764058999986</v>
      </c>
      <c r="J80" s="11">
        <f t="shared" si="27"/>
        <v>7.3478787313573189E-3</v>
      </c>
      <c r="K80" s="11">
        <f t="shared" si="28"/>
        <v>1.0784640468523758E-2</v>
      </c>
      <c r="L80" s="22">
        <v>1821.267503023148</v>
      </c>
      <c r="M80" s="7" t="s">
        <v>561</v>
      </c>
      <c r="N80" t="s">
        <v>561</v>
      </c>
      <c r="O80" t="s">
        <v>561</v>
      </c>
      <c r="P80" t="s">
        <v>561</v>
      </c>
      <c r="Q80" s="24" t="s">
        <v>561</v>
      </c>
      <c r="R80" s="7">
        <f t="shared" si="29"/>
        <v>1</v>
      </c>
      <c r="S80">
        <v>55018.494830999989</v>
      </c>
      <c r="T80" s="11">
        <f t="shared" si="30"/>
        <v>0</v>
      </c>
      <c r="U80" s="11">
        <f t="shared" si="31"/>
        <v>3.4116930305096381E-3</v>
      </c>
      <c r="V80" s="22">
        <v>7226.1989300251007</v>
      </c>
    </row>
    <row r="81" spans="1:22" x14ac:dyDescent="0.35">
      <c r="A81" s="14" t="s">
        <v>249</v>
      </c>
      <c r="B81" s="13" t="s">
        <v>563</v>
      </c>
      <c r="C81" s="13" t="s">
        <v>578</v>
      </c>
      <c r="D81" s="13">
        <v>1000</v>
      </c>
      <c r="E81" s="13">
        <v>4000</v>
      </c>
      <c r="F81">
        <f t="shared" si="25"/>
        <v>1021239.713689</v>
      </c>
      <c r="G81" s="15">
        <v>970474.24380714353</v>
      </c>
      <c r="H81" s="7">
        <f t="shared" si="26"/>
        <v>0</v>
      </c>
      <c r="I81">
        <v>1025688.0782549999</v>
      </c>
      <c r="J81" s="11">
        <f t="shared" si="27"/>
        <v>4.3558476098929056E-3</v>
      </c>
      <c r="K81" s="11">
        <f t="shared" si="28"/>
        <v>5.6893662866573429E-2</v>
      </c>
      <c r="L81" s="22">
        <v>2331.5977208614349</v>
      </c>
      <c r="M81" s="7" t="s">
        <v>561</v>
      </c>
      <c r="N81" t="s">
        <v>561</v>
      </c>
      <c r="O81" t="s">
        <v>561</v>
      </c>
      <c r="P81" t="s">
        <v>561</v>
      </c>
      <c r="Q81" s="24" t="s">
        <v>561</v>
      </c>
      <c r="R81" s="7">
        <f t="shared" si="29"/>
        <v>1</v>
      </c>
      <c r="S81">
        <v>1021239.713689</v>
      </c>
      <c r="T81" s="11">
        <f t="shared" si="30"/>
        <v>0</v>
      </c>
      <c r="U81" s="11">
        <f t="shared" si="31"/>
        <v>5.2309961037919912E-2</v>
      </c>
      <c r="V81" s="22">
        <v>1715.2378792762761</v>
      </c>
    </row>
    <row r="82" spans="1:22" x14ac:dyDescent="0.35">
      <c r="A82" s="14" t="s">
        <v>260</v>
      </c>
      <c r="B82" s="13" t="s">
        <v>563</v>
      </c>
      <c r="C82" s="13" t="s">
        <v>578</v>
      </c>
      <c r="D82" s="13">
        <v>1000</v>
      </c>
      <c r="E82" s="13">
        <v>4000</v>
      </c>
      <c r="F82">
        <f t="shared" si="25"/>
        <v>1019366.048538001</v>
      </c>
      <c r="G82" s="15">
        <v>965018.07037764124</v>
      </c>
      <c r="H82" s="7">
        <f t="shared" si="26"/>
        <v>0</v>
      </c>
      <c r="I82">
        <v>1034848.373945001</v>
      </c>
      <c r="J82" s="11">
        <f t="shared" si="27"/>
        <v>1.5188190178793127E-2</v>
      </c>
      <c r="K82" s="11">
        <f t="shared" si="28"/>
        <v>7.2361653849687041E-2</v>
      </c>
      <c r="L82" s="22">
        <v>2459.806853055954</v>
      </c>
      <c r="M82" s="7" t="s">
        <v>561</v>
      </c>
      <c r="N82" t="s">
        <v>561</v>
      </c>
      <c r="O82" t="s">
        <v>561</v>
      </c>
      <c r="P82" t="s">
        <v>561</v>
      </c>
      <c r="Q82" s="24" t="s">
        <v>561</v>
      </c>
      <c r="R82" s="7">
        <f t="shared" si="29"/>
        <v>1</v>
      </c>
      <c r="S82">
        <v>1019366.048538001</v>
      </c>
      <c r="T82" s="11">
        <f t="shared" si="30"/>
        <v>0</v>
      </c>
      <c r="U82" s="11">
        <f t="shared" si="31"/>
        <v>5.6318093752474235E-2</v>
      </c>
      <c r="V82" s="22">
        <v>1674.96773648262</v>
      </c>
    </row>
    <row r="83" spans="1:22" x14ac:dyDescent="0.35">
      <c r="A83" s="14" t="s">
        <v>271</v>
      </c>
      <c r="B83" s="13" t="s">
        <v>563</v>
      </c>
      <c r="C83" s="13" t="s">
        <v>578</v>
      </c>
      <c r="D83" s="13">
        <v>1000</v>
      </c>
      <c r="E83" s="13">
        <v>4000</v>
      </c>
      <c r="F83">
        <f t="shared" si="25"/>
        <v>583175.71536399983</v>
      </c>
      <c r="G83" s="15">
        <v>562168.51816049579</v>
      </c>
      <c r="H83" s="7">
        <f t="shared" si="26"/>
        <v>1</v>
      </c>
      <c r="I83">
        <v>583175.71536399983</v>
      </c>
      <c r="J83" s="11">
        <f t="shared" si="27"/>
        <v>0</v>
      </c>
      <c r="K83" s="11">
        <f t="shared" si="28"/>
        <v>3.7368149451418781E-2</v>
      </c>
      <c r="L83" s="22">
        <v>1544.557033061981</v>
      </c>
      <c r="M83" s="7" t="s">
        <v>561</v>
      </c>
      <c r="N83" t="s">
        <v>561</v>
      </c>
      <c r="O83" t="s">
        <v>561</v>
      </c>
      <c r="P83" t="s">
        <v>561</v>
      </c>
      <c r="Q83" s="24" t="s">
        <v>561</v>
      </c>
      <c r="R83" s="7">
        <f t="shared" si="29"/>
        <v>0</v>
      </c>
      <c r="S83">
        <v>588312.02890899987</v>
      </c>
      <c r="T83" s="11">
        <f t="shared" si="30"/>
        <v>8.8074887374110164E-3</v>
      </c>
      <c r="U83" s="11">
        <f t="shared" si="31"/>
        <v>4.6504757744261056E-2</v>
      </c>
      <c r="V83" s="22">
        <v>7283.0244085788727</v>
      </c>
    </row>
    <row r="84" spans="1:22" x14ac:dyDescent="0.35">
      <c r="A84" s="14" t="s">
        <v>282</v>
      </c>
      <c r="B84" s="13" t="s">
        <v>563</v>
      </c>
      <c r="C84" s="13" t="s">
        <v>578</v>
      </c>
      <c r="D84" s="13">
        <v>1000</v>
      </c>
      <c r="E84" s="13">
        <v>4000</v>
      </c>
      <c r="F84">
        <f t="shared" si="25"/>
        <v>615401.13923199987</v>
      </c>
      <c r="G84" s="15">
        <v>585791.22439351142</v>
      </c>
      <c r="H84" s="7">
        <f t="shared" si="26"/>
        <v>0</v>
      </c>
      <c r="I84">
        <v>615929.9862660002</v>
      </c>
      <c r="J84" s="11">
        <f t="shared" si="27"/>
        <v>8.5935335553702331E-4</v>
      </c>
      <c r="K84" s="11">
        <f t="shared" si="28"/>
        <v>5.1449664347041742E-2</v>
      </c>
      <c r="L84" s="22">
        <v>1756.796952009201</v>
      </c>
      <c r="M84" s="7">
        <f>IF(O84&lt;=0.0001,1,0)</f>
        <v>0</v>
      </c>
      <c r="N84">
        <v>727030.7326339999</v>
      </c>
      <c r="O84" s="11">
        <f>(N84-$F84)/$F84</f>
        <v>0.18139321864322519</v>
      </c>
      <c r="P84" s="11">
        <f>(N84-$G84)/$G84</f>
        <v>0.24110895206174912</v>
      </c>
      <c r="Q84" s="22">
        <v>5851.8199779987299</v>
      </c>
      <c r="R84" s="7">
        <f t="shared" si="29"/>
        <v>1</v>
      </c>
      <c r="S84">
        <v>615401.13923199987</v>
      </c>
      <c r="T84" s="11">
        <f t="shared" si="30"/>
        <v>0</v>
      </c>
      <c r="U84" s="11">
        <f t="shared" si="31"/>
        <v>5.054687336626551E-2</v>
      </c>
      <c r="V84" s="22">
        <v>7289.7417578697195</v>
      </c>
    </row>
    <row r="85" spans="1:22" x14ac:dyDescent="0.35">
      <c r="A85" s="14" t="s">
        <v>293</v>
      </c>
      <c r="B85" s="13" t="s">
        <v>563</v>
      </c>
      <c r="C85" s="13" t="s">
        <v>578</v>
      </c>
      <c r="D85" s="13">
        <v>1000</v>
      </c>
      <c r="E85" s="13">
        <v>4000</v>
      </c>
      <c r="F85">
        <f t="shared" si="25"/>
        <v>597302.32127799978</v>
      </c>
      <c r="G85" s="15">
        <v>575317.43879118527</v>
      </c>
      <c r="H85" s="7">
        <f t="shared" si="26"/>
        <v>0</v>
      </c>
      <c r="I85">
        <v>601327.6773389997</v>
      </c>
      <c r="J85" s="11">
        <f t="shared" si="27"/>
        <v>6.7392272181149076E-3</v>
      </c>
      <c r="K85" s="11">
        <f t="shared" si="28"/>
        <v>4.5210238372862865E-2</v>
      </c>
      <c r="L85" s="22">
        <v>1067.328303098679</v>
      </c>
      <c r="M85" s="7">
        <f>IF(O85&lt;=0.0001,1,0)</f>
        <v>1</v>
      </c>
      <c r="N85">
        <v>597302.32127799978</v>
      </c>
      <c r="O85" s="11">
        <f>(N85-$F85)/$F85</f>
        <v>0</v>
      </c>
      <c r="P85" s="11">
        <f>(N85-$G85)/$G85</f>
        <v>3.821348181798128E-2</v>
      </c>
      <c r="Q85" s="22">
        <v>7240.7156007289886</v>
      </c>
      <c r="R85" s="7">
        <f t="shared" si="29"/>
        <v>0</v>
      </c>
      <c r="S85">
        <v>597841.92619099992</v>
      </c>
      <c r="T85" s="11">
        <f t="shared" si="30"/>
        <v>9.0340334162034486E-4</v>
      </c>
      <c r="U85" s="11">
        <f t="shared" si="31"/>
        <v>3.9151407346770938E-2</v>
      </c>
      <c r="V85" s="22">
        <v>3589.7799279689789</v>
      </c>
    </row>
    <row r="86" spans="1:22" x14ac:dyDescent="0.35">
      <c r="A86" s="14" t="s">
        <v>304</v>
      </c>
      <c r="B86" s="13" t="s">
        <v>563</v>
      </c>
      <c r="C86" s="13" t="s">
        <v>578</v>
      </c>
      <c r="D86" s="13">
        <v>1000</v>
      </c>
      <c r="E86" s="13">
        <v>4000</v>
      </c>
      <c r="F86">
        <f t="shared" si="25"/>
        <v>562381.17492499994</v>
      </c>
      <c r="G86" s="15">
        <v>540260.07481944247</v>
      </c>
      <c r="H86" s="7">
        <f t="shared" si="26"/>
        <v>0</v>
      </c>
      <c r="I86">
        <v>564776.7492700005</v>
      </c>
      <c r="J86" s="11">
        <f t="shared" si="27"/>
        <v>4.2596986738043493E-3</v>
      </c>
      <c r="K86" s="11">
        <f t="shared" si="28"/>
        <v>4.5379393357452183E-2</v>
      </c>
      <c r="L86" s="22">
        <v>1313.955673217773</v>
      </c>
      <c r="M86" s="7" t="s">
        <v>561</v>
      </c>
      <c r="N86" t="s">
        <v>561</v>
      </c>
      <c r="O86" t="s">
        <v>561</v>
      </c>
      <c r="P86" t="s">
        <v>561</v>
      </c>
      <c r="Q86" s="24" t="s">
        <v>561</v>
      </c>
      <c r="R86" s="7">
        <f t="shared" si="29"/>
        <v>1</v>
      </c>
      <c r="S86">
        <v>562381.17492499994</v>
      </c>
      <c r="T86" s="11">
        <f t="shared" si="30"/>
        <v>0</v>
      </c>
      <c r="U86" s="11">
        <f t="shared" si="31"/>
        <v>4.0945280128187253E-2</v>
      </c>
      <c r="V86" s="22">
        <v>7278.2381429672241</v>
      </c>
    </row>
    <row r="87" spans="1:22" x14ac:dyDescent="0.35">
      <c r="A87" s="14" t="s">
        <v>306</v>
      </c>
      <c r="B87" s="13" t="s">
        <v>564</v>
      </c>
      <c r="C87" s="13" t="s">
        <v>578</v>
      </c>
      <c r="D87" s="13">
        <v>1200</v>
      </c>
      <c r="E87" s="13">
        <v>3000</v>
      </c>
      <c r="F87">
        <f t="shared" si="25"/>
        <v>1184546.851039001</v>
      </c>
      <c r="G87" s="15">
        <v>1096404.356028354</v>
      </c>
      <c r="H87" s="7">
        <f t="shared" si="26"/>
        <v>1</v>
      </c>
      <c r="I87">
        <v>1184546.851039001</v>
      </c>
      <c r="J87" s="11">
        <f t="shared" si="27"/>
        <v>0</v>
      </c>
      <c r="K87" s="11">
        <f t="shared" si="28"/>
        <v>8.039232471671022E-2</v>
      </c>
      <c r="L87" s="22">
        <v>3229.6503508090968</v>
      </c>
      <c r="M87" s="7" t="s">
        <v>561</v>
      </c>
      <c r="N87" t="s">
        <v>561</v>
      </c>
      <c r="O87" t="s">
        <v>561</v>
      </c>
      <c r="P87" t="s">
        <v>561</v>
      </c>
      <c r="Q87" s="24" t="s">
        <v>561</v>
      </c>
      <c r="R87" s="7">
        <f t="shared" si="29"/>
        <v>0</v>
      </c>
      <c r="S87">
        <v>1192582.441028001</v>
      </c>
      <c r="T87" s="11">
        <f t="shared" si="30"/>
        <v>6.783682706979253E-3</v>
      </c>
      <c r="U87" s="11">
        <f t="shared" si="31"/>
        <v>8.7721363446644079E-2</v>
      </c>
      <c r="V87" s="22">
        <v>7228.6753375530243</v>
      </c>
    </row>
    <row r="88" spans="1:22" x14ac:dyDescent="0.35">
      <c r="A88" s="14" t="s">
        <v>307</v>
      </c>
      <c r="B88" s="13" t="s">
        <v>564</v>
      </c>
      <c r="C88" s="13" t="s">
        <v>578</v>
      </c>
      <c r="D88" s="13">
        <v>1200</v>
      </c>
      <c r="E88" s="13">
        <v>3000</v>
      </c>
      <c r="F88">
        <f t="shared" si="25"/>
        <v>672528.88069200004</v>
      </c>
      <c r="G88" s="15">
        <v>644293.18310112576</v>
      </c>
      <c r="H88" s="7">
        <f t="shared" si="26"/>
        <v>0</v>
      </c>
      <c r="I88">
        <v>674719.52170699998</v>
      </c>
      <c r="J88" s="11">
        <f t="shared" si="27"/>
        <v>3.2573188719358464E-3</v>
      </c>
      <c r="K88" s="11">
        <f t="shared" si="28"/>
        <v>4.7224368352658197E-2</v>
      </c>
      <c r="L88" s="22">
        <v>2196.8997421264648</v>
      </c>
      <c r="M88" s="7" t="s">
        <v>561</v>
      </c>
      <c r="N88" t="s">
        <v>561</v>
      </c>
      <c r="O88" t="s">
        <v>561</v>
      </c>
      <c r="P88" t="s">
        <v>561</v>
      </c>
      <c r="Q88" s="24" t="s">
        <v>561</v>
      </c>
      <c r="R88" s="7">
        <f t="shared" si="29"/>
        <v>1</v>
      </c>
      <c r="S88">
        <v>672528.88069200004</v>
      </c>
      <c r="T88" s="11">
        <f t="shared" si="30"/>
        <v>0</v>
      </c>
      <c r="U88" s="11">
        <f t="shared" si="31"/>
        <v>4.3824299762058025E-2</v>
      </c>
      <c r="V88" s="22">
        <v>7262.0618391036987</v>
      </c>
    </row>
    <row r="89" spans="1:22" x14ac:dyDescent="0.35">
      <c r="A89" s="14" t="s">
        <v>308</v>
      </c>
      <c r="B89" s="13" t="s">
        <v>564</v>
      </c>
      <c r="C89" s="13" t="s">
        <v>578</v>
      </c>
      <c r="D89" s="13">
        <v>1200</v>
      </c>
      <c r="E89" s="13">
        <v>3000</v>
      </c>
      <c r="F89">
        <f t="shared" si="25"/>
        <v>433347.42707799951</v>
      </c>
      <c r="G89" s="15">
        <v>413938.21522757201</v>
      </c>
      <c r="H89" s="7">
        <f t="shared" si="26"/>
        <v>0</v>
      </c>
      <c r="I89">
        <v>433978.53625099937</v>
      </c>
      <c r="J89" s="11">
        <f t="shared" si="27"/>
        <v>1.4563584172065792E-3</v>
      </c>
      <c r="K89" s="11">
        <f t="shared" si="28"/>
        <v>4.8413797726817108E-2</v>
      </c>
      <c r="L89" s="22">
        <v>1543.3172898292539</v>
      </c>
      <c r="M89" s="7" t="s">
        <v>561</v>
      </c>
      <c r="N89" t="s">
        <v>561</v>
      </c>
      <c r="O89" t="s">
        <v>561</v>
      </c>
      <c r="P89" t="s">
        <v>561</v>
      </c>
      <c r="Q89" s="24" t="s">
        <v>561</v>
      </c>
      <c r="R89" s="7">
        <f t="shared" si="29"/>
        <v>1</v>
      </c>
      <c r="S89">
        <v>433347.42707799951</v>
      </c>
      <c r="T89" s="11">
        <f t="shared" si="30"/>
        <v>0</v>
      </c>
      <c r="U89" s="11">
        <f t="shared" si="31"/>
        <v>4.6889151898567377E-2</v>
      </c>
      <c r="V89" s="22">
        <v>7230.8509814739227</v>
      </c>
    </row>
    <row r="90" spans="1:22" x14ac:dyDescent="0.35">
      <c r="A90" s="14" t="s">
        <v>309</v>
      </c>
      <c r="B90" s="13" t="s">
        <v>564</v>
      </c>
      <c r="C90" s="13" t="s">
        <v>578</v>
      </c>
      <c r="D90" s="13">
        <v>1200</v>
      </c>
      <c r="E90" s="13">
        <v>3000</v>
      </c>
      <c r="F90">
        <f t="shared" si="25"/>
        <v>422043.9424009996</v>
      </c>
      <c r="G90" s="15">
        <v>407268.89717777248</v>
      </c>
      <c r="H90" s="7">
        <f t="shared" si="26"/>
        <v>0</v>
      </c>
      <c r="I90">
        <v>429533.6120559994</v>
      </c>
      <c r="J90" s="11">
        <f t="shared" si="27"/>
        <v>1.7746184466933039E-2</v>
      </c>
      <c r="K90" s="11">
        <f t="shared" si="28"/>
        <v>5.4668340824731321E-2</v>
      </c>
      <c r="L90" s="22">
        <v>1182.1172029972081</v>
      </c>
      <c r="M90" s="7">
        <f>IF(O90&lt;=0.0001,1,0)</f>
        <v>1</v>
      </c>
      <c r="N90">
        <v>422043.9424009996</v>
      </c>
      <c r="O90" s="11">
        <f>(N90-$F90)/$F90</f>
        <v>0</v>
      </c>
      <c r="P90" s="11">
        <f>(N90-$G90)/$G90</f>
        <v>3.6278353995635046E-2</v>
      </c>
      <c r="Q90" s="22">
        <v>7223.0196650028229</v>
      </c>
      <c r="R90" s="7">
        <f t="shared" si="29"/>
        <v>0</v>
      </c>
      <c r="S90">
        <v>422396.88766699948</v>
      </c>
      <c r="T90" s="11">
        <f t="shared" si="30"/>
        <v>8.3627610905153652E-4</v>
      </c>
      <c r="U90" s="11">
        <f t="shared" si="31"/>
        <v>3.7144968825408846E-2</v>
      </c>
      <c r="V90" s="22">
        <v>7244.0419895648956</v>
      </c>
    </row>
    <row r="91" spans="1:22" x14ac:dyDescent="0.35">
      <c r="A91" s="14" t="s">
        <v>310</v>
      </c>
      <c r="B91" s="13" t="s">
        <v>564</v>
      </c>
      <c r="C91" s="13" t="s">
        <v>578</v>
      </c>
      <c r="D91" s="13">
        <v>1200</v>
      </c>
      <c r="E91" s="13">
        <v>3000</v>
      </c>
      <c r="F91">
        <f t="shared" si="25"/>
        <v>442949.70197599957</v>
      </c>
      <c r="G91" s="15">
        <v>429610.61495335703</v>
      </c>
      <c r="H91" s="7">
        <f t="shared" si="26"/>
        <v>0</v>
      </c>
      <c r="I91">
        <v>451579.4484809995</v>
      </c>
      <c r="J91" s="11">
        <f t="shared" si="27"/>
        <v>1.9482452446638099E-2</v>
      </c>
      <c r="K91" s="11">
        <f t="shared" si="28"/>
        <v>5.1136617120197646E-2</v>
      </c>
      <c r="L91" s="22">
        <v>1422.6126291751859</v>
      </c>
      <c r="M91" s="7" t="s">
        <v>561</v>
      </c>
      <c r="N91" t="s">
        <v>561</v>
      </c>
      <c r="O91" t="s">
        <v>561</v>
      </c>
      <c r="P91" t="s">
        <v>561</v>
      </c>
      <c r="Q91" s="24" t="s">
        <v>561</v>
      </c>
      <c r="R91" s="7">
        <f t="shared" si="29"/>
        <v>1</v>
      </c>
      <c r="S91">
        <v>442949.70197599957</v>
      </c>
      <c r="T91" s="11">
        <f t="shared" si="30"/>
        <v>0</v>
      </c>
      <c r="U91" s="11">
        <f t="shared" si="31"/>
        <v>3.1049249153424146E-2</v>
      </c>
      <c r="V91" s="22">
        <v>7248.7249736785889</v>
      </c>
    </row>
    <row r="92" spans="1:22" x14ac:dyDescent="0.35">
      <c r="A92" s="14" t="s">
        <v>311</v>
      </c>
      <c r="B92" s="13" t="s">
        <v>564</v>
      </c>
      <c r="C92" s="13" t="s">
        <v>578</v>
      </c>
      <c r="D92" s="13">
        <v>1200</v>
      </c>
      <c r="E92" s="13">
        <v>3000</v>
      </c>
      <c r="F92">
        <f t="shared" si="25"/>
        <v>429350.1905549994</v>
      </c>
      <c r="G92" s="15">
        <v>417601.88184719492</v>
      </c>
      <c r="H92" s="7">
        <f t="shared" si="26"/>
        <v>0</v>
      </c>
      <c r="I92">
        <v>434686.15941399941</v>
      </c>
      <c r="J92" s="11">
        <f t="shared" si="27"/>
        <v>1.2428010925306628E-2</v>
      </c>
      <c r="K92" s="11">
        <f t="shared" si="28"/>
        <v>4.0910442000967363E-2</v>
      </c>
      <c r="L92" s="22">
        <v>1721.1434919834139</v>
      </c>
      <c r="M92" s="7" t="s">
        <v>561</v>
      </c>
      <c r="N92" t="s">
        <v>561</v>
      </c>
      <c r="O92" t="s">
        <v>561</v>
      </c>
      <c r="P92" t="s">
        <v>561</v>
      </c>
      <c r="Q92" s="24" t="s">
        <v>561</v>
      </c>
      <c r="R92" s="7">
        <f t="shared" si="29"/>
        <v>1</v>
      </c>
      <c r="S92">
        <v>429350.1905549994</v>
      </c>
      <c r="T92" s="11">
        <f t="shared" si="30"/>
        <v>0</v>
      </c>
      <c r="U92" s="11">
        <f t="shared" si="31"/>
        <v>2.8132796374953386E-2</v>
      </c>
      <c r="V92" s="22">
        <v>7254.1655216217041</v>
      </c>
    </row>
    <row r="93" spans="1:22" x14ac:dyDescent="0.35">
      <c r="A93" s="14" t="s">
        <v>312</v>
      </c>
      <c r="B93" s="13" t="s">
        <v>564</v>
      </c>
      <c r="C93" s="13" t="s">
        <v>578</v>
      </c>
      <c r="D93" s="13">
        <v>1200</v>
      </c>
      <c r="E93" s="13">
        <v>3000</v>
      </c>
      <c r="F93">
        <f t="shared" si="25"/>
        <v>431751.91638499958</v>
      </c>
      <c r="G93" s="15">
        <v>413358.14913668338</v>
      </c>
      <c r="H93" s="7">
        <f t="shared" si="26"/>
        <v>0</v>
      </c>
      <c r="I93">
        <v>432174.7366769996</v>
      </c>
      <c r="J93" s="11">
        <f t="shared" si="27"/>
        <v>9.7931306371546812E-4</v>
      </c>
      <c r="K93" s="11">
        <f t="shared" si="28"/>
        <v>4.5521269097066282E-2</v>
      </c>
      <c r="L93" s="22">
        <v>1485.0558521747589</v>
      </c>
      <c r="M93" s="7" t="s">
        <v>561</v>
      </c>
      <c r="N93" t="s">
        <v>561</v>
      </c>
      <c r="O93" t="s">
        <v>561</v>
      </c>
      <c r="P93" t="s">
        <v>561</v>
      </c>
      <c r="Q93" s="24" t="s">
        <v>561</v>
      </c>
      <c r="R93" s="7">
        <f t="shared" si="29"/>
        <v>1</v>
      </c>
      <c r="S93">
        <v>431751.91638499958</v>
      </c>
      <c r="T93" s="11">
        <f t="shared" si="30"/>
        <v>0</v>
      </c>
      <c r="U93" s="11">
        <f t="shared" si="31"/>
        <v>4.4498378190274926E-2</v>
      </c>
      <c r="V93" s="22">
        <v>7240.9604601860046</v>
      </c>
    </row>
    <row r="94" spans="1:22" x14ac:dyDescent="0.35">
      <c r="A94" s="14" t="s">
        <v>313</v>
      </c>
      <c r="B94" s="13" t="s">
        <v>564</v>
      </c>
      <c r="C94" s="13" t="s">
        <v>578</v>
      </c>
      <c r="D94" s="13">
        <v>1200</v>
      </c>
      <c r="E94" s="13">
        <v>3000</v>
      </c>
      <c r="F94">
        <f t="shared" si="25"/>
        <v>129959.50270500001</v>
      </c>
      <c r="G94" s="15">
        <v>126298.3572723987</v>
      </c>
      <c r="H94" s="7">
        <f t="shared" si="26"/>
        <v>0</v>
      </c>
      <c r="I94">
        <v>132506.0083460001</v>
      </c>
      <c r="J94" s="11">
        <f t="shared" si="27"/>
        <v>1.9594608997392883E-2</v>
      </c>
      <c r="K94" s="11">
        <f t="shared" si="28"/>
        <v>4.9150687369692539E-2</v>
      </c>
      <c r="L94" s="22">
        <v>1101.4997630119319</v>
      </c>
      <c r="M94" s="7">
        <f t="shared" ref="M94:M108" si="35">IF(O94&lt;=0.0001,1,0)</f>
        <v>0</v>
      </c>
      <c r="N94">
        <v>130164.977864</v>
      </c>
      <c r="O94" s="11">
        <f t="shared" ref="O94:O108" si="36">(N94-$F94)/$F94</f>
        <v>1.5810706775818465E-3</v>
      </c>
      <c r="P94" s="11">
        <f t="shared" ref="P94:P108" si="37">(N94-$G94)/$G94</f>
        <v>3.0614971367060779E-2</v>
      </c>
      <c r="Q94" s="22">
        <v>7210.8107516765594</v>
      </c>
      <c r="R94" s="7">
        <f t="shared" si="29"/>
        <v>1</v>
      </c>
      <c r="S94">
        <v>129959.50270500001</v>
      </c>
      <c r="T94" s="11">
        <f t="shared" si="30"/>
        <v>0</v>
      </c>
      <c r="U94" s="11">
        <f t="shared" si="31"/>
        <v>2.8988068504366943E-2</v>
      </c>
      <c r="V94" s="22">
        <v>7239.8948585987091</v>
      </c>
    </row>
    <row r="95" spans="1:22" x14ac:dyDescent="0.35">
      <c r="A95" s="14" t="s">
        <v>314</v>
      </c>
      <c r="B95" s="13" t="s">
        <v>564</v>
      </c>
      <c r="C95" s="13" t="s">
        <v>578</v>
      </c>
      <c r="D95" s="13">
        <v>1200</v>
      </c>
      <c r="E95" s="13">
        <v>3000</v>
      </c>
      <c r="F95">
        <f t="shared" si="25"/>
        <v>128714.3474490001</v>
      </c>
      <c r="G95" s="15">
        <v>125336.0649338511</v>
      </c>
      <c r="H95" s="7">
        <f t="shared" si="26"/>
        <v>0</v>
      </c>
      <c r="I95">
        <v>132315.25581800001</v>
      </c>
      <c r="J95" s="11">
        <f t="shared" si="27"/>
        <v>2.7975967251255198E-2</v>
      </c>
      <c r="K95" s="11">
        <f t="shared" si="28"/>
        <v>5.5683820038807896E-2</v>
      </c>
      <c r="L95" s="22">
        <v>1236.3033518791201</v>
      </c>
      <c r="M95" s="7">
        <f t="shared" si="35"/>
        <v>1</v>
      </c>
      <c r="N95">
        <v>128714.3474490001</v>
      </c>
      <c r="O95" s="11">
        <f t="shared" si="36"/>
        <v>0</v>
      </c>
      <c r="P95" s="11">
        <f t="shared" si="37"/>
        <v>2.6953794320349531E-2</v>
      </c>
      <c r="Q95" s="22">
        <v>7215.9849050045013</v>
      </c>
      <c r="R95" s="7">
        <f t="shared" si="29"/>
        <v>0</v>
      </c>
      <c r="S95">
        <v>128987.0553720001</v>
      </c>
      <c r="T95" s="11">
        <f t="shared" si="30"/>
        <v>2.1187064876979846E-3</v>
      </c>
      <c r="U95" s="11">
        <f t="shared" si="31"/>
        <v>2.912960798694212E-2</v>
      </c>
      <c r="V95" s="22">
        <v>7221.59530377388</v>
      </c>
    </row>
    <row r="96" spans="1:22" x14ac:dyDescent="0.35">
      <c r="A96" s="14" t="s">
        <v>315</v>
      </c>
      <c r="B96" s="13" t="s">
        <v>564</v>
      </c>
      <c r="C96" s="13" t="s">
        <v>578</v>
      </c>
      <c r="D96" s="13">
        <v>1200</v>
      </c>
      <c r="E96" s="13">
        <v>3000</v>
      </c>
      <c r="F96">
        <f t="shared" si="25"/>
        <v>131166.25507600009</v>
      </c>
      <c r="G96" s="15">
        <v>127146.0516428836</v>
      </c>
      <c r="H96" s="7">
        <f t="shared" si="26"/>
        <v>0</v>
      </c>
      <c r="I96">
        <v>132852.29307600009</v>
      </c>
      <c r="J96" s="11">
        <f t="shared" si="27"/>
        <v>1.2854205519728223E-2</v>
      </c>
      <c r="K96" s="11">
        <f t="shared" si="28"/>
        <v>4.4879422989426911E-2</v>
      </c>
      <c r="L96" s="22">
        <v>1003.464176177979</v>
      </c>
      <c r="M96" s="7">
        <f t="shared" si="35"/>
        <v>0</v>
      </c>
      <c r="N96">
        <v>132446.58504200011</v>
      </c>
      <c r="O96" s="11">
        <f t="shared" si="36"/>
        <v>9.7611231277295613E-3</v>
      </c>
      <c r="P96" s="11">
        <f t="shared" si="37"/>
        <v>4.1688541096063063E-2</v>
      </c>
      <c r="Q96" s="22">
        <v>7210.9779696464539</v>
      </c>
      <c r="R96" s="7">
        <f t="shared" si="29"/>
        <v>1</v>
      </c>
      <c r="S96">
        <v>131166.25507600009</v>
      </c>
      <c r="T96" s="11">
        <f t="shared" si="30"/>
        <v>0</v>
      </c>
      <c r="U96" s="11">
        <f t="shared" si="31"/>
        <v>3.161878313302309E-2</v>
      </c>
      <c r="V96" s="22">
        <v>7217.7511422634116</v>
      </c>
    </row>
    <row r="97" spans="1:22" x14ac:dyDescent="0.35">
      <c r="A97" s="14" t="s">
        <v>316</v>
      </c>
      <c r="B97" s="13" t="s">
        <v>564</v>
      </c>
      <c r="C97" s="13" t="s">
        <v>578</v>
      </c>
      <c r="D97" s="13">
        <v>1200</v>
      </c>
      <c r="E97" s="13">
        <v>3000</v>
      </c>
      <c r="F97">
        <f t="shared" si="25"/>
        <v>135126.11131899999</v>
      </c>
      <c r="G97" s="15">
        <v>130550.8293530113</v>
      </c>
      <c r="H97" s="7">
        <f t="shared" si="26"/>
        <v>0</v>
      </c>
      <c r="I97">
        <v>139787.13003400009</v>
      </c>
      <c r="J97" s="11">
        <f t="shared" si="27"/>
        <v>3.4493841860042618E-2</v>
      </c>
      <c r="K97" s="11">
        <f t="shared" si="28"/>
        <v>7.0748694027930686E-2</v>
      </c>
      <c r="L97" s="22">
        <v>1027.2705240249629</v>
      </c>
      <c r="M97" s="7">
        <f t="shared" si="35"/>
        <v>0</v>
      </c>
      <c r="N97">
        <v>135496.42883600001</v>
      </c>
      <c r="O97" s="11">
        <f t="shared" si="36"/>
        <v>2.7405326282629997E-3</v>
      </c>
      <c r="P97" s="11">
        <f t="shared" si="37"/>
        <v>3.7882558904438167E-2</v>
      </c>
      <c r="Q97" s="22">
        <v>7214.9354000091553</v>
      </c>
      <c r="R97" s="7">
        <f t="shared" si="29"/>
        <v>1</v>
      </c>
      <c r="S97">
        <v>135126.11131899999</v>
      </c>
      <c r="T97" s="11">
        <f t="shared" si="30"/>
        <v>0</v>
      </c>
      <c r="U97" s="11">
        <f t="shared" si="31"/>
        <v>3.5045981620055899E-2</v>
      </c>
      <c r="V97" s="22">
        <v>7240.6670069694519</v>
      </c>
    </row>
    <row r="98" spans="1:22" x14ac:dyDescent="0.35">
      <c r="A98" s="14" t="s">
        <v>317</v>
      </c>
      <c r="B98" s="13" t="s">
        <v>564</v>
      </c>
      <c r="C98" s="13" t="s">
        <v>578</v>
      </c>
      <c r="D98" s="13">
        <v>1200</v>
      </c>
      <c r="E98" s="13">
        <v>3000</v>
      </c>
      <c r="F98">
        <f t="shared" si="25"/>
        <v>1199615.8598560011</v>
      </c>
      <c r="G98" s="15">
        <v>1123225.554955065</v>
      </c>
      <c r="H98" s="7">
        <f t="shared" si="26"/>
        <v>0</v>
      </c>
      <c r="I98">
        <v>1210615.094670001</v>
      </c>
      <c r="J98" s="11">
        <f t="shared" si="27"/>
        <v>9.1689641510076161E-3</v>
      </c>
      <c r="K98" s="11">
        <f t="shared" si="28"/>
        <v>7.780230722976382E-2</v>
      </c>
      <c r="L98" s="22">
        <v>3917.4986488819118</v>
      </c>
      <c r="M98" s="7">
        <f t="shared" si="35"/>
        <v>0</v>
      </c>
      <c r="N98">
        <v>1262957.024306</v>
      </c>
      <c r="O98" s="11">
        <f t="shared" si="36"/>
        <v>5.280120626081268E-2</v>
      </c>
      <c r="P98" s="11">
        <f t="shared" si="37"/>
        <v>0.12440196782784643</v>
      </c>
      <c r="Q98" s="22">
        <v>8063.5658807754517</v>
      </c>
      <c r="R98" s="7">
        <f t="shared" ref="R98:R129" si="38">IF(T98&lt;=0.0001,1,0)</f>
        <v>1</v>
      </c>
      <c r="S98">
        <v>1199615.8598560011</v>
      </c>
      <c r="T98" s="11">
        <f t="shared" ref="T98:T129" si="39">(S98-$F98)/$F98</f>
        <v>0</v>
      </c>
      <c r="U98" s="11">
        <f t="shared" ref="U98:U129" si="40">(S98-$G98)/$G98</f>
        <v>6.8009763990806021E-2</v>
      </c>
      <c r="V98" s="22">
        <v>7233.0412652492523</v>
      </c>
    </row>
    <row r="99" spans="1:22" x14ac:dyDescent="0.35">
      <c r="A99" s="14" t="s">
        <v>318</v>
      </c>
      <c r="B99" s="13" t="s">
        <v>564</v>
      </c>
      <c r="C99" s="13" t="s">
        <v>578</v>
      </c>
      <c r="D99" s="13">
        <v>1200</v>
      </c>
      <c r="E99" s="13">
        <v>3000</v>
      </c>
      <c r="F99">
        <f t="shared" si="25"/>
        <v>124886.489222</v>
      </c>
      <c r="G99" s="15">
        <v>121371.4124738534</v>
      </c>
      <c r="H99" s="7">
        <f t="shared" si="26"/>
        <v>0</v>
      </c>
      <c r="I99">
        <v>129800.270231</v>
      </c>
      <c r="J99" s="11">
        <f t="shared" si="27"/>
        <v>3.9345977612239472E-2</v>
      </c>
      <c r="K99" s="11">
        <f t="shared" si="28"/>
        <v>6.9446812765422819E-2</v>
      </c>
      <c r="L99" s="22">
        <v>666.33508110046387</v>
      </c>
      <c r="M99" s="7">
        <f t="shared" si="35"/>
        <v>0</v>
      </c>
      <c r="N99">
        <v>125486.31357100001</v>
      </c>
      <c r="O99" s="11">
        <f t="shared" si="36"/>
        <v>4.8029562904418422E-3</v>
      </c>
      <c r="P99" s="11">
        <f t="shared" si="37"/>
        <v>3.3903379826226071E-2</v>
      </c>
      <c r="Q99" s="22">
        <v>7215.1377990245819</v>
      </c>
      <c r="R99" s="7">
        <f t="shared" si="38"/>
        <v>1</v>
      </c>
      <c r="S99">
        <v>124886.489222</v>
      </c>
      <c r="T99" s="11">
        <f t="shared" si="39"/>
        <v>0</v>
      </c>
      <c r="U99" s="11">
        <f t="shared" si="40"/>
        <v>2.896132356459016E-2</v>
      </c>
      <c r="V99" s="22">
        <v>7218.7000846862793</v>
      </c>
    </row>
    <row r="100" spans="1:22" x14ac:dyDescent="0.35">
      <c r="A100" s="14" t="s">
        <v>319</v>
      </c>
      <c r="B100" s="13" t="s">
        <v>564</v>
      </c>
      <c r="C100" s="13" t="s">
        <v>578</v>
      </c>
      <c r="D100" s="13">
        <v>1200</v>
      </c>
      <c r="E100" s="13">
        <v>3000</v>
      </c>
      <c r="F100">
        <f t="shared" si="25"/>
        <v>74035.05309500001</v>
      </c>
      <c r="G100" s="15">
        <v>73137.192979363128</v>
      </c>
      <c r="H100" s="7">
        <f t="shared" si="26"/>
        <v>0</v>
      </c>
      <c r="I100">
        <v>76713.134337000025</v>
      </c>
      <c r="J100" s="11">
        <f t="shared" si="27"/>
        <v>3.6173152176490843E-2</v>
      </c>
      <c r="K100" s="11">
        <f t="shared" si="28"/>
        <v>4.8893609557122436E-2</v>
      </c>
      <c r="L100" s="22">
        <v>695.13251519203186</v>
      </c>
      <c r="M100" s="7">
        <f t="shared" si="35"/>
        <v>0</v>
      </c>
      <c r="N100">
        <v>74158.994013000003</v>
      </c>
      <c r="O100" s="11">
        <f t="shared" si="36"/>
        <v>1.6740842724993381E-3</v>
      </c>
      <c r="P100" s="11">
        <f t="shared" si="37"/>
        <v>1.3971017918683225E-2</v>
      </c>
      <c r="Q100" s="22">
        <v>7212.8347408771506</v>
      </c>
      <c r="R100" s="7">
        <f t="shared" si="38"/>
        <v>1</v>
      </c>
      <c r="S100">
        <v>74035.05309500001</v>
      </c>
      <c r="T100" s="11">
        <f t="shared" si="39"/>
        <v>0</v>
      </c>
      <c r="U100" s="11">
        <f t="shared" si="40"/>
        <v>1.2276381948241141E-2</v>
      </c>
      <c r="V100" s="22">
        <v>7219.1504261493683</v>
      </c>
    </row>
    <row r="101" spans="1:22" x14ac:dyDescent="0.35">
      <c r="A101" s="14" t="s">
        <v>320</v>
      </c>
      <c r="B101" s="13" t="s">
        <v>564</v>
      </c>
      <c r="C101" s="13" t="s">
        <v>578</v>
      </c>
      <c r="D101" s="13">
        <v>1200</v>
      </c>
      <c r="E101" s="13">
        <v>3000</v>
      </c>
      <c r="F101">
        <f t="shared" si="25"/>
        <v>71516.31293200003</v>
      </c>
      <c r="G101" s="15">
        <v>70751.521397651362</v>
      </c>
      <c r="H101" s="7">
        <f t="shared" si="26"/>
        <v>0</v>
      </c>
      <c r="I101">
        <v>76095.371531000041</v>
      </c>
      <c r="J101" s="11">
        <f t="shared" si="27"/>
        <v>6.4028169396175727E-2</v>
      </c>
      <c r="K101" s="11">
        <f t="shared" si="28"/>
        <v>7.5529826465697322E-2</v>
      </c>
      <c r="L101" s="22">
        <v>671.19446992874146</v>
      </c>
      <c r="M101" s="7">
        <f t="shared" si="35"/>
        <v>0</v>
      </c>
      <c r="N101">
        <v>71874.937283000007</v>
      </c>
      <c r="O101" s="11">
        <f t="shared" si="36"/>
        <v>5.0145810976157017E-3</v>
      </c>
      <c r="P101" s="11">
        <f t="shared" si="37"/>
        <v>1.5878328312328514E-2</v>
      </c>
      <c r="Q101" s="22">
        <v>7212.4351432323456</v>
      </c>
      <c r="R101" s="7">
        <f t="shared" si="38"/>
        <v>1</v>
      </c>
      <c r="S101">
        <v>71516.31293200003</v>
      </c>
      <c r="T101" s="11">
        <f t="shared" si="39"/>
        <v>0</v>
      </c>
      <c r="U101" s="11">
        <f t="shared" si="40"/>
        <v>1.0809541890275947E-2</v>
      </c>
      <c r="V101" s="22">
        <v>7209.9405410289764</v>
      </c>
    </row>
    <row r="102" spans="1:22" x14ac:dyDescent="0.35">
      <c r="A102" s="14" t="s">
        <v>321</v>
      </c>
      <c r="B102" s="13" t="s">
        <v>564</v>
      </c>
      <c r="C102" s="13" t="s">
        <v>578</v>
      </c>
      <c r="D102" s="13">
        <v>1200</v>
      </c>
      <c r="E102" s="13">
        <v>3000</v>
      </c>
      <c r="F102">
        <f t="shared" si="25"/>
        <v>72050.337079000077</v>
      </c>
      <c r="G102" s="15">
        <v>71041.414923578865</v>
      </c>
      <c r="H102" s="7">
        <f t="shared" si="26"/>
        <v>0</v>
      </c>
      <c r="I102">
        <v>74552.323756000027</v>
      </c>
      <c r="J102" s="11">
        <f t="shared" si="27"/>
        <v>3.4725537428876005E-2</v>
      </c>
      <c r="K102" s="11">
        <f t="shared" si="28"/>
        <v>4.9420592709167467E-2</v>
      </c>
      <c r="L102" s="22">
        <v>1039.649656057358</v>
      </c>
      <c r="M102" s="7">
        <f t="shared" si="35"/>
        <v>0</v>
      </c>
      <c r="N102">
        <v>72677.783314</v>
      </c>
      <c r="O102" s="11">
        <f t="shared" si="36"/>
        <v>8.7084427420784354E-3</v>
      </c>
      <c r="P102" s="11">
        <f t="shared" si="37"/>
        <v>2.3034006180499368E-2</v>
      </c>
      <c r="Q102" s="22">
        <v>7212.9373745918274</v>
      </c>
      <c r="R102" s="7">
        <f t="shared" si="38"/>
        <v>1</v>
      </c>
      <c r="S102">
        <v>72050.337079000077</v>
      </c>
      <c r="T102" s="11">
        <f t="shared" si="39"/>
        <v>0</v>
      </c>
      <c r="U102" s="11">
        <f t="shared" si="40"/>
        <v>1.4201887117627612E-2</v>
      </c>
      <c r="V102" s="22">
        <v>7216.6181502342224</v>
      </c>
    </row>
    <row r="103" spans="1:22" x14ac:dyDescent="0.35">
      <c r="A103" s="14" t="s">
        <v>322</v>
      </c>
      <c r="B103" s="13" t="s">
        <v>564</v>
      </c>
      <c r="C103" s="13" t="s">
        <v>578</v>
      </c>
      <c r="D103" s="13">
        <v>1200</v>
      </c>
      <c r="E103" s="13">
        <v>3000</v>
      </c>
      <c r="F103">
        <f t="shared" si="25"/>
        <v>74299.239525999583</v>
      </c>
      <c r="G103" s="15">
        <v>73223.296208610904</v>
      </c>
      <c r="H103" s="7">
        <f t="shared" si="26"/>
        <v>0</v>
      </c>
      <c r="I103">
        <v>78312.216921000014</v>
      </c>
      <c r="J103" s="11">
        <f t="shared" si="27"/>
        <v>5.4011015733157905E-2</v>
      </c>
      <c r="K103" s="11">
        <f t="shared" si="28"/>
        <v>6.9498656518970858E-2</v>
      </c>
      <c r="L103" s="22">
        <v>676.4334180355072</v>
      </c>
      <c r="M103" s="7">
        <f t="shared" si="35"/>
        <v>0</v>
      </c>
      <c r="N103">
        <v>74706.24323599998</v>
      </c>
      <c r="O103" s="11">
        <f t="shared" si="36"/>
        <v>5.4778987321663546E-3</v>
      </c>
      <c r="P103" s="11">
        <f t="shared" si="37"/>
        <v>2.0252393762283064E-2</v>
      </c>
      <c r="Q103" s="22">
        <v>7235.8927619457236</v>
      </c>
      <c r="R103" s="7">
        <f t="shared" si="38"/>
        <v>1</v>
      </c>
      <c r="S103">
        <v>74299.239525999583</v>
      </c>
      <c r="T103" s="11">
        <f t="shared" si="39"/>
        <v>0</v>
      </c>
      <c r="U103" s="11">
        <f t="shared" si="40"/>
        <v>1.4694002770967178E-2</v>
      </c>
      <c r="V103" s="22">
        <v>7212.3769228458405</v>
      </c>
    </row>
    <row r="104" spans="1:22" x14ac:dyDescent="0.35">
      <c r="A104" s="14" t="s">
        <v>323</v>
      </c>
      <c r="B104" s="13" t="s">
        <v>564</v>
      </c>
      <c r="C104" s="13" t="s">
        <v>578</v>
      </c>
      <c r="D104" s="13">
        <v>1200</v>
      </c>
      <c r="E104" s="13">
        <v>3000</v>
      </c>
      <c r="F104">
        <f t="shared" si="25"/>
        <v>75626.648383999971</v>
      </c>
      <c r="G104" s="15">
        <v>74475.43818683445</v>
      </c>
      <c r="H104" s="7">
        <f t="shared" si="26"/>
        <v>0</v>
      </c>
      <c r="I104">
        <v>77411.087573999976</v>
      </c>
      <c r="J104" s="11">
        <f t="shared" si="27"/>
        <v>2.359537581170305E-2</v>
      </c>
      <c r="K104" s="11">
        <f t="shared" si="28"/>
        <v>3.941768532869782E-2</v>
      </c>
      <c r="L104" s="22">
        <v>656.42896795272827</v>
      </c>
      <c r="M104" s="7">
        <f t="shared" si="35"/>
        <v>0</v>
      </c>
      <c r="N104">
        <v>75807.787697999971</v>
      </c>
      <c r="O104" s="11">
        <f t="shared" si="36"/>
        <v>2.3951783910910818E-3</v>
      </c>
      <c r="P104" s="11">
        <f t="shared" si="37"/>
        <v>1.788978411678617E-2</v>
      </c>
      <c r="Q104" s="22">
        <v>7230.5031247138977</v>
      </c>
      <c r="R104" s="7">
        <f t="shared" si="38"/>
        <v>1</v>
      </c>
      <c r="S104">
        <v>75626.648383999971</v>
      </c>
      <c r="T104" s="11">
        <f t="shared" si="39"/>
        <v>0</v>
      </c>
      <c r="U104" s="11">
        <f t="shared" si="40"/>
        <v>1.5457582059168451E-2</v>
      </c>
      <c r="V104" s="22">
        <v>7213.4119396209717</v>
      </c>
    </row>
    <row r="105" spans="1:22" x14ac:dyDescent="0.35">
      <c r="A105" s="14" t="s">
        <v>324</v>
      </c>
      <c r="B105" s="13" t="s">
        <v>564</v>
      </c>
      <c r="C105" s="13" t="s">
        <v>578</v>
      </c>
      <c r="D105" s="13">
        <v>1200</v>
      </c>
      <c r="E105" s="13">
        <v>3000</v>
      </c>
      <c r="F105">
        <f t="shared" si="25"/>
        <v>48049.799392000008</v>
      </c>
      <c r="G105" s="15">
        <v>47819.65555424412</v>
      </c>
      <c r="H105" s="7">
        <f t="shared" si="26"/>
        <v>0</v>
      </c>
      <c r="I105">
        <v>53588.888670000008</v>
      </c>
      <c r="J105" s="11">
        <f t="shared" si="27"/>
        <v>0.11527809372961136</v>
      </c>
      <c r="K105" s="11">
        <f t="shared" si="28"/>
        <v>0.12064564348882795</v>
      </c>
      <c r="L105" s="22">
        <v>973.64471220970154</v>
      </c>
      <c r="M105" s="7">
        <f t="shared" si="35"/>
        <v>0</v>
      </c>
      <c r="N105">
        <v>48072.843856000007</v>
      </c>
      <c r="O105" s="11">
        <f t="shared" si="36"/>
        <v>4.7959542582055935E-4</v>
      </c>
      <c r="P105" s="11">
        <f t="shared" si="37"/>
        <v>5.2946492152935532E-3</v>
      </c>
      <c r="Q105" s="22">
        <v>7208.3198299407959</v>
      </c>
      <c r="R105" s="7">
        <f t="shared" si="38"/>
        <v>1</v>
      </c>
      <c r="S105">
        <v>48049.799392000008</v>
      </c>
      <c r="T105" s="11">
        <f t="shared" si="39"/>
        <v>0</v>
      </c>
      <c r="U105" s="11">
        <f t="shared" si="40"/>
        <v>4.8127456186886327E-3</v>
      </c>
      <c r="V105" s="22">
        <v>7212.6614093780518</v>
      </c>
    </row>
    <row r="106" spans="1:22" x14ac:dyDescent="0.35">
      <c r="A106" s="14" t="s">
        <v>325</v>
      </c>
      <c r="B106" s="13" t="s">
        <v>564</v>
      </c>
      <c r="C106" s="13" t="s">
        <v>578</v>
      </c>
      <c r="D106" s="13">
        <v>1200</v>
      </c>
      <c r="E106" s="13">
        <v>3000</v>
      </c>
      <c r="F106">
        <f t="shared" si="25"/>
        <v>47796.908193000003</v>
      </c>
      <c r="G106" s="15">
        <v>47538.552993831501</v>
      </c>
      <c r="H106" s="7">
        <f t="shared" si="26"/>
        <v>0</v>
      </c>
      <c r="I106">
        <v>50361.541778000013</v>
      </c>
      <c r="J106" s="11">
        <f t="shared" si="27"/>
        <v>5.3656892923789758E-2</v>
      </c>
      <c r="K106" s="11">
        <f t="shared" si="28"/>
        <v>5.9383144971510114E-2</v>
      </c>
      <c r="L106" s="22">
        <v>965.0856339931488</v>
      </c>
      <c r="M106" s="7">
        <f t="shared" si="35"/>
        <v>0</v>
      </c>
      <c r="N106">
        <v>47803.390199999973</v>
      </c>
      <c r="O106" s="11">
        <f t="shared" si="36"/>
        <v>1.3561561291361744E-4</v>
      </c>
      <c r="P106" s="11">
        <f t="shared" si="37"/>
        <v>5.5709984736564445E-3</v>
      </c>
      <c r="Q106" s="22">
        <v>7208.1718862056732</v>
      </c>
      <c r="R106" s="7">
        <f t="shared" si="38"/>
        <v>1</v>
      </c>
      <c r="S106">
        <v>47796.908193000003</v>
      </c>
      <c r="T106" s="11">
        <f t="shared" si="39"/>
        <v>0</v>
      </c>
      <c r="U106" s="11">
        <f t="shared" si="40"/>
        <v>5.4346458379165496E-3</v>
      </c>
      <c r="V106" s="22">
        <v>7216.4470250606537</v>
      </c>
    </row>
    <row r="107" spans="1:22" x14ac:dyDescent="0.35">
      <c r="A107" s="14" t="s">
        <v>326</v>
      </c>
      <c r="B107" s="13" t="s">
        <v>564</v>
      </c>
      <c r="C107" s="13" t="s">
        <v>578</v>
      </c>
      <c r="D107" s="13">
        <v>1200</v>
      </c>
      <c r="E107" s="13">
        <v>3000</v>
      </c>
      <c r="F107">
        <f t="shared" si="25"/>
        <v>48763.893051999999</v>
      </c>
      <c r="G107" s="15">
        <v>48463.966773494132</v>
      </c>
      <c r="H107" s="7">
        <f t="shared" si="26"/>
        <v>0</v>
      </c>
      <c r="I107">
        <v>52287.021068000002</v>
      </c>
      <c r="J107" s="11">
        <f t="shared" si="27"/>
        <v>7.2248702790055547E-2</v>
      </c>
      <c r="K107" s="11">
        <f t="shared" si="28"/>
        <v>7.8884469205206934E-2</v>
      </c>
      <c r="L107" s="22">
        <v>988.77648091316223</v>
      </c>
      <c r="M107" s="7">
        <f t="shared" si="35"/>
        <v>0</v>
      </c>
      <c r="N107">
        <v>48781.969029999949</v>
      </c>
      <c r="O107" s="11">
        <f t="shared" si="36"/>
        <v>3.7068365277305237E-4</v>
      </c>
      <c r="P107" s="11">
        <f t="shared" si="37"/>
        <v>6.5616225347805944E-3</v>
      </c>
      <c r="Q107" s="22">
        <v>7208.7359330654144</v>
      </c>
      <c r="R107" s="7">
        <f t="shared" si="38"/>
        <v>1</v>
      </c>
      <c r="S107">
        <v>48763.893051999999</v>
      </c>
      <c r="T107" s="11">
        <f t="shared" si="39"/>
        <v>0</v>
      </c>
      <c r="U107" s="11">
        <f t="shared" si="40"/>
        <v>6.1886448525278913E-3</v>
      </c>
      <c r="V107" s="22">
        <v>7215.3554029464722</v>
      </c>
    </row>
    <row r="108" spans="1:22" x14ac:dyDescent="0.35">
      <c r="A108" s="14" t="s">
        <v>327</v>
      </c>
      <c r="B108" s="13" t="s">
        <v>564</v>
      </c>
      <c r="C108" s="13" t="s">
        <v>578</v>
      </c>
      <c r="D108" s="13">
        <v>1200</v>
      </c>
      <c r="E108" s="13">
        <v>3000</v>
      </c>
      <c r="F108">
        <f t="shared" si="25"/>
        <v>48175.939547999988</v>
      </c>
      <c r="G108" s="15">
        <v>47912.9519136288</v>
      </c>
      <c r="H108" s="7">
        <f t="shared" si="26"/>
        <v>0</v>
      </c>
      <c r="I108">
        <v>54569.030262999957</v>
      </c>
      <c r="J108" s="11">
        <f t="shared" si="27"/>
        <v>0.1327029794329227</v>
      </c>
      <c r="K108" s="11">
        <f t="shared" si="28"/>
        <v>0.13892023103418599</v>
      </c>
      <c r="L108" s="22">
        <v>1035.6732120513921</v>
      </c>
      <c r="M108" s="7">
        <f t="shared" si="35"/>
        <v>0</v>
      </c>
      <c r="N108">
        <v>48225.991152999981</v>
      </c>
      <c r="O108" s="11">
        <f t="shared" si="36"/>
        <v>1.038933655878667E-3</v>
      </c>
      <c r="P108" s="11">
        <f t="shared" si="37"/>
        <v>6.5334993330297634E-3</v>
      </c>
      <c r="Q108" s="22">
        <v>7210.3808171749106</v>
      </c>
      <c r="R108" s="7">
        <f t="shared" si="38"/>
        <v>1</v>
      </c>
      <c r="S108">
        <v>48175.939547999988</v>
      </c>
      <c r="T108" s="11">
        <f t="shared" si="39"/>
        <v>0</v>
      </c>
      <c r="U108" s="11">
        <f t="shared" si="40"/>
        <v>5.4888631125309768E-3</v>
      </c>
      <c r="V108" s="22">
        <v>7211.7810480594644</v>
      </c>
    </row>
    <row r="109" spans="1:22" x14ac:dyDescent="0.35">
      <c r="A109" s="14" t="s">
        <v>328</v>
      </c>
      <c r="B109" s="13" t="s">
        <v>564</v>
      </c>
      <c r="C109" s="13" t="s">
        <v>578</v>
      </c>
      <c r="D109" s="13">
        <v>1200</v>
      </c>
      <c r="E109" s="13">
        <v>3000</v>
      </c>
      <c r="F109">
        <f t="shared" si="25"/>
        <v>1193572.2402919999</v>
      </c>
      <c r="G109" s="15">
        <v>1093279.7214504411</v>
      </c>
      <c r="H109" s="7">
        <f t="shared" si="26"/>
        <v>1</v>
      </c>
      <c r="I109">
        <v>1193572.2402919999</v>
      </c>
      <c r="J109" s="11">
        <f t="shared" si="27"/>
        <v>0</v>
      </c>
      <c r="K109" s="11">
        <f t="shared" si="28"/>
        <v>9.1735460627132059E-2</v>
      </c>
      <c r="L109" s="22">
        <v>4006.801992893219</v>
      </c>
      <c r="M109" s="7" t="s">
        <v>561</v>
      </c>
      <c r="N109" t="s">
        <v>561</v>
      </c>
      <c r="O109" t="s">
        <v>561</v>
      </c>
      <c r="P109" t="s">
        <v>561</v>
      </c>
      <c r="Q109" s="24" t="s">
        <v>561</v>
      </c>
      <c r="R109" s="7">
        <f t="shared" si="38"/>
        <v>0</v>
      </c>
      <c r="S109">
        <v>1199144.4467140001</v>
      </c>
      <c r="T109" s="11">
        <f t="shared" si="39"/>
        <v>4.668512079869575E-3</v>
      </c>
      <c r="U109" s="11">
        <f t="shared" si="40"/>
        <v>9.6832240813091788E-2</v>
      </c>
      <c r="V109" s="22">
        <v>7224.3265254497528</v>
      </c>
    </row>
    <row r="110" spans="1:22" x14ac:dyDescent="0.35">
      <c r="A110" s="14" t="s">
        <v>329</v>
      </c>
      <c r="B110" s="13" t="s">
        <v>564</v>
      </c>
      <c r="C110" s="13" t="s">
        <v>578</v>
      </c>
      <c r="D110" s="13">
        <v>1200</v>
      </c>
      <c r="E110" s="13">
        <v>3000</v>
      </c>
      <c r="F110">
        <f t="shared" si="25"/>
        <v>48779.557382999999</v>
      </c>
      <c r="G110" s="15">
        <v>48492.827060769683</v>
      </c>
      <c r="H110" s="7">
        <f t="shared" si="26"/>
        <v>0</v>
      </c>
      <c r="I110">
        <v>49940.268190000017</v>
      </c>
      <c r="J110" s="11">
        <f t="shared" si="27"/>
        <v>2.3795025401450919E-2</v>
      </c>
      <c r="K110" s="11">
        <f t="shared" si="28"/>
        <v>2.9848561466965955E-2</v>
      </c>
      <c r="L110" s="22">
        <v>1951.3819649219511</v>
      </c>
      <c r="M110" s="7">
        <f>IF(O110&lt;=0.0001,1,0)</f>
        <v>1</v>
      </c>
      <c r="N110">
        <v>48779.557382999999</v>
      </c>
      <c r="O110" s="11">
        <f>(N110-$F110)/$F110</f>
        <v>0</v>
      </c>
      <c r="P110" s="11">
        <f>(N110-$G110)/$G110</f>
        <v>5.9128398901345724E-3</v>
      </c>
      <c r="Q110" s="22">
        <v>7209.2463338375092</v>
      </c>
      <c r="R110" s="7">
        <f t="shared" si="38"/>
        <v>0</v>
      </c>
      <c r="S110">
        <v>48785.52893</v>
      </c>
      <c r="T110" s="11">
        <f t="shared" si="39"/>
        <v>1.2241904847792108E-4</v>
      </c>
      <c r="U110" s="11">
        <f t="shared" si="40"/>
        <v>6.0359827828456464E-3</v>
      </c>
      <c r="V110" s="22">
        <v>7220.4678092002869</v>
      </c>
    </row>
    <row r="111" spans="1:22" x14ac:dyDescent="0.35">
      <c r="A111" s="14" t="s">
        <v>339</v>
      </c>
      <c r="B111" s="13" t="s">
        <v>564</v>
      </c>
      <c r="C111" s="13" t="s">
        <v>578</v>
      </c>
      <c r="D111" s="13">
        <v>1200</v>
      </c>
      <c r="E111" s="13">
        <v>3000</v>
      </c>
      <c r="F111">
        <f t="shared" si="25"/>
        <v>1228606.2229060009</v>
      </c>
      <c r="G111" s="15">
        <v>1128750.400938645</v>
      </c>
      <c r="H111" s="7">
        <f t="shared" si="26"/>
        <v>0</v>
      </c>
      <c r="I111">
        <v>1237507.0952720011</v>
      </c>
      <c r="J111" s="11">
        <f t="shared" si="27"/>
        <v>7.2446909351859875E-3</v>
      </c>
      <c r="K111" s="11">
        <f t="shared" si="28"/>
        <v>9.6351411474951715E-2</v>
      </c>
      <c r="L111" s="22">
        <v>4064.778135061264</v>
      </c>
      <c r="M111" s="7">
        <f>IF(O111&lt;=0.0001,1,0)</f>
        <v>0</v>
      </c>
      <c r="N111">
        <v>1303624.243631999</v>
      </c>
      <c r="O111" s="11">
        <f>(N111-$F111)/$F111</f>
        <v>6.1059450397833143E-2</v>
      </c>
      <c r="P111" s="11">
        <f>(N111-$G111)/$G111</f>
        <v>0.15492693738840102</v>
      </c>
      <c r="Q111" s="22">
        <v>7828.7017948627472</v>
      </c>
      <c r="R111" s="7">
        <f t="shared" si="38"/>
        <v>1</v>
      </c>
      <c r="S111">
        <v>1228606.2229060009</v>
      </c>
      <c r="T111" s="11">
        <f t="shared" si="39"/>
        <v>0</v>
      </c>
      <c r="U111" s="11">
        <f t="shared" si="40"/>
        <v>8.8465813065774251E-2</v>
      </c>
      <c r="V111" s="22">
        <v>7228.2679929733276</v>
      </c>
    </row>
    <row r="112" spans="1:22" x14ac:dyDescent="0.35">
      <c r="A112" s="14" t="s">
        <v>350</v>
      </c>
      <c r="B112" s="13" t="s">
        <v>564</v>
      </c>
      <c r="C112" s="13" t="s">
        <v>578</v>
      </c>
      <c r="D112" s="13">
        <v>1200</v>
      </c>
      <c r="E112" s="13">
        <v>3000</v>
      </c>
      <c r="F112">
        <f t="shared" si="25"/>
        <v>1195413.5540459999</v>
      </c>
      <c r="G112" s="15">
        <v>1102138.0421755461</v>
      </c>
      <c r="H112" s="7">
        <f t="shared" si="26"/>
        <v>1</v>
      </c>
      <c r="I112">
        <v>1195413.5540459999</v>
      </c>
      <c r="J112" s="11">
        <f t="shared" si="27"/>
        <v>0</v>
      </c>
      <c r="K112" s="11">
        <f t="shared" si="28"/>
        <v>8.4631423924297428E-2</v>
      </c>
      <c r="L112" s="22">
        <v>4125.5549650192261</v>
      </c>
      <c r="M112" s="7" t="s">
        <v>561</v>
      </c>
      <c r="N112" t="s">
        <v>561</v>
      </c>
      <c r="O112" t="s">
        <v>561</v>
      </c>
      <c r="P112" t="s">
        <v>561</v>
      </c>
      <c r="Q112" s="24" t="s">
        <v>561</v>
      </c>
      <c r="R112" s="7">
        <f t="shared" si="38"/>
        <v>0</v>
      </c>
      <c r="S112">
        <v>1200003.488969001</v>
      </c>
      <c r="T112" s="11">
        <f t="shared" si="39"/>
        <v>3.8396209474670867E-3</v>
      </c>
      <c r="U112" s="11">
        <f t="shared" si="40"/>
        <v>8.8795997459878206E-2</v>
      </c>
      <c r="V112" s="22">
        <v>7225.9458823204041</v>
      </c>
    </row>
    <row r="113" spans="1:22" x14ac:dyDescent="0.35">
      <c r="A113" s="14" t="s">
        <v>361</v>
      </c>
      <c r="B113" s="13" t="s">
        <v>564</v>
      </c>
      <c r="C113" s="13" t="s">
        <v>578</v>
      </c>
      <c r="D113" s="13">
        <v>1200</v>
      </c>
      <c r="E113" s="13">
        <v>3000</v>
      </c>
      <c r="F113">
        <f t="shared" si="25"/>
        <v>662680.37707000005</v>
      </c>
      <c r="G113" s="15">
        <v>633620.19153153303</v>
      </c>
      <c r="H113" s="7">
        <f t="shared" si="26"/>
        <v>0</v>
      </c>
      <c r="I113">
        <v>664071.48319800012</v>
      </c>
      <c r="J113" s="11">
        <f t="shared" si="27"/>
        <v>2.0992112881790181E-3</v>
      </c>
      <c r="K113" s="11">
        <f t="shared" si="28"/>
        <v>4.8059219187543266E-2</v>
      </c>
      <c r="L113" s="22">
        <v>3092.6357080936432</v>
      </c>
      <c r="M113" s="7" t="s">
        <v>561</v>
      </c>
      <c r="N113" t="s">
        <v>561</v>
      </c>
      <c r="O113" t="s">
        <v>561</v>
      </c>
      <c r="P113" t="s">
        <v>561</v>
      </c>
      <c r="Q113" s="24" t="s">
        <v>561</v>
      </c>
      <c r="R113" s="7">
        <f t="shared" si="38"/>
        <v>1</v>
      </c>
      <c r="S113">
        <v>662680.37707000005</v>
      </c>
      <c r="T113" s="11">
        <f t="shared" si="39"/>
        <v>0</v>
      </c>
      <c r="U113" s="11">
        <f t="shared" si="40"/>
        <v>4.5863730239128271E-2</v>
      </c>
      <c r="V113" s="22">
        <v>7266.7375130653381</v>
      </c>
    </row>
    <row r="114" spans="1:22" x14ac:dyDescent="0.35">
      <c r="A114" s="14" t="s">
        <v>372</v>
      </c>
      <c r="B114" s="13" t="s">
        <v>564</v>
      </c>
      <c r="C114" s="13" t="s">
        <v>578</v>
      </c>
      <c r="D114" s="13">
        <v>1200</v>
      </c>
      <c r="E114" s="13">
        <v>3000</v>
      </c>
      <c r="F114">
        <f t="shared" si="25"/>
        <v>671785.46202900005</v>
      </c>
      <c r="G114" s="15">
        <v>642026.32478329446</v>
      </c>
      <c r="H114" s="7">
        <f t="shared" si="26"/>
        <v>1</v>
      </c>
      <c r="I114">
        <v>671785.46202900005</v>
      </c>
      <c r="J114" s="11">
        <f t="shared" si="27"/>
        <v>0</v>
      </c>
      <c r="K114" s="11">
        <f t="shared" si="28"/>
        <v>4.6351895704199196E-2</v>
      </c>
      <c r="L114" s="22">
        <v>3053.4026160240169</v>
      </c>
      <c r="M114" s="7" t="s">
        <v>561</v>
      </c>
      <c r="N114" t="s">
        <v>561</v>
      </c>
      <c r="O114" t="s">
        <v>561</v>
      </c>
      <c r="P114" t="s">
        <v>561</v>
      </c>
      <c r="Q114" s="24" t="s">
        <v>561</v>
      </c>
      <c r="R114" s="7">
        <f t="shared" si="38"/>
        <v>0</v>
      </c>
      <c r="S114">
        <v>673006.09165499965</v>
      </c>
      <c r="T114" s="11">
        <f t="shared" si="39"/>
        <v>1.8169932143409628E-3</v>
      </c>
      <c r="U114" s="11">
        <f t="shared" si="40"/>
        <v>4.825310999850653E-2</v>
      </c>
      <c r="V114" s="22">
        <v>7260.9880294799796</v>
      </c>
    </row>
    <row r="115" spans="1:22" x14ac:dyDescent="0.35">
      <c r="A115" s="14" t="s">
        <v>383</v>
      </c>
      <c r="B115" s="13" t="s">
        <v>564</v>
      </c>
      <c r="C115" s="13" t="s">
        <v>578</v>
      </c>
      <c r="D115" s="13">
        <v>1200</v>
      </c>
      <c r="E115" s="13">
        <v>3000</v>
      </c>
      <c r="F115">
        <f t="shared" si="25"/>
        <v>741080.92863900005</v>
      </c>
      <c r="G115" s="15">
        <v>706034.02299075271</v>
      </c>
      <c r="H115" s="7">
        <f t="shared" si="26"/>
        <v>1</v>
      </c>
      <c r="I115">
        <v>741080.92863900005</v>
      </c>
      <c r="J115" s="11">
        <f t="shared" si="27"/>
        <v>0</v>
      </c>
      <c r="K115" s="11">
        <f t="shared" si="28"/>
        <v>4.9639117247904027E-2</v>
      </c>
      <c r="L115" s="22">
        <v>2953.6418511867519</v>
      </c>
      <c r="M115" s="7" t="s">
        <v>561</v>
      </c>
      <c r="N115" t="s">
        <v>561</v>
      </c>
      <c r="O115" t="s">
        <v>561</v>
      </c>
      <c r="P115" t="s">
        <v>561</v>
      </c>
      <c r="Q115" s="24" t="s">
        <v>561</v>
      </c>
      <c r="R115" s="7">
        <f t="shared" si="38"/>
        <v>0</v>
      </c>
      <c r="S115">
        <v>743576.43526000017</v>
      </c>
      <c r="T115" s="11">
        <f t="shared" si="39"/>
        <v>3.3673874533286644E-3</v>
      </c>
      <c r="U115" s="11">
        <f t="shared" si="40"/>
        <v>5.317365884184759E-2</v>
      </c>
      <c r="V115" s="22">
        <v>7248.5931599140167</v>
      </c>
    </row>
    <row r="116" spans="1:22" x14ac:dyDescent="0.35">
      <c r="A116" s="14" t="s">
        <v>394</v>
      </c>
      <c r="B116" s="13" t="s">
        <v>564</v>
      </c>
      <c r="C116" s="13" t="s">
        <v>578</v>
      </c>
      <c r="D116" s="13">
        <v>1200</v>
      </c>
      <c r="E116" s="13">
        <v>3000</v>
      </c>
      <c r="F116">
        <f t="shared" si="25"/>
        <v>695959.07123799971</v>
      </c>
      <c r="G116" s="15">
        <v>666532.40697687434</v>
      </c>
      <c r="H116" s="7">
        <f t="shared" si="26"/>
        <v>0</v>
      </c>
      <c r="I116">
        <v>703050.49707300041</v>
      </c>
      <c r="J116" s="11">
        <f t="shared" si="27"/>
        <v>1.0189429419155627E-2</v>
      </c>
      <c r="K116" s="11">
        <f t="shared" si="28"/>
        <v>5.478816890803194E-2</v>
      </c>
      <c r="L116" s="22">
        <v>3080.0561540126801</v>
      </c>
      <c r="M116" s="7" t="s">
        <v>561</v>
      </c>
      <c r="N116" t="s">
        <v>561</v>
      </c>
      <c r="O116" t="s">
        <v>561</v>
      </c>
      <c r="P116" t="s">
        <v>561</v>
      </c>
      <c r="Q116" s="24" t="s">
        <v>561</v>
      </c>
      <c r="R116" s="7">
        <f t="shared" si="38"/>
        <v>1</v>
      </c>
      <c r="S116">
        <v>695959.07123799971</v>
      </c>
      <c r="T116" s="11">
        <f t="shared" si="39"/>
        <v>0</v>
      </c>
      <c r="U116" s="11">
        <f t="shared" si="40"/>
        <v>4.4148887515601851E-2</v>
      </c>
      <c r="V116" s="22">
        <v>7281.0081644058228</v>
      </c>
    </row>
    <row r="117" spans="1:22" x14ac:dyDescent="0.35">
      <c r="A117" s="14" t="s">
        <v>396</v>
      </c>
      <c r="B117" s="13" t="s">
        <v>565</v>
      </c>
      <c r="C117" s="13" t="s">
        <v>578</v>
      </c>
      <c r="D117" s="13">
        <v>2000</v>
      </c>
      <c r="E117" s="13">
        <v>2000</v>
      </c>
      <c r="F117">
        <f t="shared" si="25"/>
        <v>1107495.7796360001</v>
      </c>
      <c r="G117" s="15">
        <v>1051072.744864749</v>
      </c>
      <c r="H117" s="7">
        <f t="shared" si="26"/>
        <v>0</v>
      </c>
      <c r="I117">
        <v>1174660.8090359999</v>
      </c>
      <c r="J117" s="11">
        <f t="shared" si="27"/>
        <v>6.0645855844322021E-2</v>
      </c>
      <c r="K117" s="11">
        <f t="shared" si="28"/>
        <v>0.11758278841789785</v>
      </c>
      <c r="L117" s="22">
        <v>7202.1</v>
      </c>
      <c r="M117" s="7">
        <f t="shared" ref="M117:M122" si="41">IF(O117&lt;=0.0001,1,0)</f>
        <v>1</v>
      </c>
      <c r="N117">
        <v>1107495.7796360001</v>
      </c>
      <c r="O117" s="11">
        <f t="shared" ref="O117:O122" si="42">(N117-$F117)/$F117</f>
        <v>0</v>
      </c>
      <c r="P117" s="11">
        <f t="shared" ref="P117:P122" si="43">(N117-$G117)/$G117</f>
        <v>5.3681379378276509E-2</v>
      </c>
      <c r="Q117" s="22">
        <v>7406.892019033432</v>
      </c>
      <c r="R117" s="7">
        <f t="shared" si="38"/>
        <v>0</v>
      </c>
      <c r="S117">
        <v>1163835.0765790001</v>
      </c>
      <c r="T117" s="11">
        <f t="shared" si="39"/>
        <v>5.0870890868330944E-2</v>
      </c>
      <c r="U117" s="11">
        <f t="shared" si="40"/>
        <v>0.10728308983862123</v>
      </c>
      <c r="V117" s="22">
        <v>7270.8174681663513</v>
      </c>
    </row>
    <row r="118" spans="1:22" x14ac:dyDescent="0.35">
      <c r="A118" s="14" t="s">
        <v>397</v>
      </c>
      <c r="B118" s="13" t="s">
        <v>565</v>
      </c>
      <c r="C118" s="13" t="s">
        <v>578</v>
      </c>
      <c r="D118" s="13">
        <v>2000</v>
      </c>
      <c r="E118" s="13">
        <v>2000</v>
      </c>
      <c r="F118">
        <f t="shared" si="25"/>
        <v>710015.73604899994</v>
      </c>
      <c r="G118" s="15">
        <v>653259.07812807383</v>
      </c>
      <c r="H118" s="7">
        <f t="shared" si="26"/>
        <v>0</v>
      </c>
      <c r="I118">
        <v>710152.21121899982</v>
      </c>
      <c r="J118" s="11">
        <f t="shared" si="27"/>
        <v>1.9221428916394568E-4</v>
      </c>
      <c r="K118" s="11">
        <f t="shared" si="28"/>
        <v>8.7091224593394592E-2</v>
      </c>
      <c r="L118" s="22">
        <v>7202.2</v>
      </c>
      <c r="M118" s="7">
        <f t="shared" si="41"/>
        <v>0</v>
      </c>
      <c r="N118">
        <v>719144.63922599982</v>
      </c>
      <c r="O118" s="11">
        <f t="shared" si="42"/>
        <v>1.2857325145776593E-2</v>
      </c>
      <c r="P118" s="11">
        <f t="shared" si="43"/>
        <v>0.10085670954121649</v>
      </c>
      <c r="Q118" s="22">
        <v>7210.0805389881134</v>
      </c>
      <c r="R118" s="7">
        <f t="shared" si="38"/>
        <v>1</v>
      </c>
      <c r="S118">
        <v>710015.73604899994</v>
      </c>
      <c r="T118" s="11">
        <f t="shared" si="39"/>
        <v>0</v>
      </c>
      <c r="U118" s="11">
        <f t="shared" si="40"/>
        <v>8.6882310282718742E-2</v>
      </c>
      <c r="V118" s="22">
        <v>7274.8304755687714</v>
      </c>
    </row>
    <row r="119" spans="1:22" x14ac:dyDescent="0.35">
      <c r="A119" s="14" t="s">
        <v>398</v>
      </c>
      <c r="B119" s="13" t="s">
        <v>565</v>
      </c>
      <c r="C119" s="13" t="s">
        <v>578</v>
      </c>
      <c r="D119" s="13">
        <v>2000</v>
      </c>
      <c r="E119" s="13">
        <v>2000</v>
      </c>
      <c r="F119">
        <f t="shared" si="25"/>
        <v>751245.58499400038</v>
      </c>
      <c r="G119" s="15">
        <v>695978.12885919027</v>
      </c>
      <c r="H119" s="7">
        <f t="shared" si="26"/>
        <v>0</v>
      </c>
      <c r="I119">
        <v>756917.05109299999</v>
      </c>
      <c r="J119" s="11">
        <f t="shared" si="27"/>
        <v>7.5494168781636145E-3</v>
      </c>
      <c r="K119" s="11">
        <f t="shared" si="28"/>
        <v>8.7558674198135372E-2</v>
      </c>
      <c r="L119" s="22">
        <v>7204.2</v>
      </c>
      <c r="M119" s="7">
        <f t="shared" si="41"/>
        <v>1</v>
      </c>
      <c r="N119">
        <v>751245.58499400038</v>
      </c>
      <c r="O119" s="11">
        <f t="shared" si="42"/>
        <v>0</v>
      </c>
      <c r="P119" s="11">
        <f t="shared" si="43"/>
        <v>7.9409759938004865E-2</v>
      </c>
      <c r="Q119" s="22">
        <v>7211.4098496437073</v>
      </c>
      <c r="R119" s="7">
        <f t="shared" si="38"/>
        <v>0</v>
      </c>
      <c r="S119">
        <v>763223.7585140001</v>
      </c>
      <c r="T119" s="11">
        <f t="shared" si="39"/>
        <v>1.5944417856506111E-2</v>
      </c>
      <c r="U119" s="11">
        <f t="shared" si="40"/>
        <v>9.6620320188847364E-2</v>
      </c>
      <c r="V119" s="22">
        <v>7258.6834785938263</v>
      </c>
    </row>
    <row r="120" spans="1:22" x14ac:dyDescent="0.35">
      <c r="A120" s="14" t="s">
        <v>399</v>
      </c>
      <c r="B120" s="13" t="s">
        <v>565</v>
      </c>
      <c r="C120" s="13" t="s">
        <v>578</v>
      </c>
      <c r="D120" s="13">
        <v>2000</v>
      </c>
      <c r="E120" s="13">
        <v>2000</v>
      </c>
      <c r="F120">
        <f t="shared" si="25"/>
        <v>710669.86060000025</v>
      </c>
      <c r="G120" s="15">
        <v>659437.22083179536</v>
      </c>
      <c r="H120" s="7">
        <f t="shared" si="26"/>
        <v>1</v>
      </c>
      <c r="I120">
        <v>710669.86060000025</v>
      </c>
      <c r="J120" s="11">
        <f t="shared" si="27"/>
        <v>0</v>
      </c>
      <c r="K120" s="11">
        <f t="shared" si="28"/>
        <v>7.7691458943705799E-2</v>
      </c>
      <c r="L120" s="22">
        <v>7202.6</v>
      </c>
      <c r="M120" s="7">
        <f t="shared" si="41"/>
        <v>0</v>
      </c>
      <c r="N120">
        <v>713534.63304500049</v>
      </c>
      <c r="O120" s="11">
        <f t="shared" si="42"/>
        <v>4.0310875750121005E-3</v>
      </c>
      <c r="P120" s="11">
        <f t="shared" si="43"/>
        <v>8.2035727593550434E-2</v>
      </c>
      <c r="Q120" s="22">
        <v>7214.9200713634491</v>
      </c>
      <c r="R120" s="7">
        <f t="shared" si="38"/>
        <v>0</v>
      </c>
      <c r="S120">
        <v>712515.19326800061</v>
      </c>
      <c r="T120" s="11">
        <f t="shared" si="39"/>
        <v>2.5966102832085769E-3</v>
      </c>
      <c r="U120" s="11">
        <f t="shared" si="40"/>
        <v>8.0489803668125082E-2</v>
      </c>
      <c r="V120" s="22">
        <v>7252.7626774311066</v>
      </c>
    </row>
    <row r="121" spans="1:22" x14ac:dyDescent="0.35">
      <c r="A121" s="14" t="s">
        <v>400</v>
      </c>
      <c r="B121" s="13" t="s">
        <v>565</v>
      </c>
      <c r="C121" s="13" t="s">
        <v>578</v>
      </c>
      <c r="D121" s="13">
        <v>2000</v>
      </c>
      <c r="E121" s="13">
        <v>2000</v>
      </c>
      <c r="F121">
        <f t="shared" si="25"/>
        <v>716383.31048400025</v>
      </c>
      <c r="G121" s="15">
        <v>671919.42683318513</v>
      </c>
      <c r="H121" s="7">
        <f t="shared" si="26"/>
        <v>1</v>
      </c>
      <c r="I121">
        <v>716383.31048400025</v>
      </c>
      <c r="J121" s="11">
        <f t="shared" si="27"/>
        <v>0</v>
      </c>
      <c r="K121" s="11">
        <f t="shared" si="28"/>
        <v>6.6174427878022926E-2</v>
      </c>
      <c r="L121" s="22">
        <v>7206.9</v>
      </c>
      <c r="M121" s="7">
        <f t="shared" si="41"/>
        <v>0</v>
      </c>
      <c r="N121">
        <v>732196.75792900054</v>
      </c>
      <c r="O121" s="11">
        <f t="shared" si="42"/>
        <v>2.2074003139906297E-2</v>
      </c>
      <c r="P121" s="11">
        <f t="shared" si="43"/>
        <v>8.97091655466902E-2</v>
      </c>
      <c r="Q121" s="22">
        <v>7213.6419253349304</v>
      </c>
      <c r="R121" s="7">
        <f t="shared" si="38"/>
        <v>0</v>
      </c>
      <c r="S121">
        <v>730210.05321000027</v>
      </c>
      <c r="T121" s="11">
        <f t="shared" si="39"/>
        <v>1.9300760533712675E-2</v>
      </c>
      <c r="U121" s="11">
        <f t="shared" si="40"/>
        <v>8.6752405197664764E-2</v>
      </c>
      <c r="V121" s="22">
        <v>7273.0843777656564</v>
      </c>
    </row>
    <row r="122" spans="1:22" x14ac:dyDescent="0.35">
      <c r="A122" s="14" t="s">
        <v>401</v>
      </c>
      <c r="B122" s="13" t="s">
        <v>565</v>
      </c>
      <c r="C122" s="13" t="s">
        <v>578</v>
      </c>
      <c r="D122" s="13">
        <v>2000</v>
      </c>
      <c r="E122" s="13">
        <v>2000</v>
      </c>
      <c r="F122">
        <f t="shared" si="25"/>
        <v>761439.8647040003</v>
      </c>
      <c r="G122" s="15">
        <v>710614.97326147906</v>
      </c>
      <c r="H122" s="7">
        <f t="shared" si="26"/>
        <v>1</v>
      </c>
      <c r="I122">
        <v>761439.8647040003</v>
      </c>
      <c r="J122" s="11">
        <f t="shared" si="27"/>
        <v>0</v>
      </c>
      <c r="K122" s="11">
        <f t="shared" si="28"/>
        <v>7.1522404332760428E-2</v>
      </c>
      <c r="L122" s="22">
        <v>7202.1</v>
      </c>
      <c r="M122" s="7">
        <f t="shared" si="41"/>
        <v>0</v>
      </c>
      <c r="N122">
        <v>768365.5975240001</v>
      </c>
      <c r="O122" s="11">
        <f t="shared" si="42"/>
        <v>9.0955742416928588E-3</v>
      </c>
      <c r="P122" s="11">
        <f t="shared" si="43"/>
        <v>8.1268515913006281E-2</v>
      </c>
      <c r="Q122" s="22">
        <v>7213.1122093200684</v>
      </c>
      <c r="R122" s="7">
        <f t="shared" si="38"/>
        <v>0</v>
      </c>
      <c r="S122">
        <v>762441.44336400018</v>
      </c>
      <c r="T122" s="11">
        <f t="shared" si="39"/>
        <v>1.3153746033368417E-3</v>
      </c>
      <c r="U122" s="11">
        <f t="shared" si="40"/>
        <v>7.2931857690326174E-2</v>
      </c>
      <c r="V122" s="22">
        <v>7258.8965179920197</v>
      </c>
    </row>
    <row r="123" spans="1:22" x14ac:dyDescent="0.35">
      <c r="A123" s="14" t="s">
        <v>402</v>
      </c>
      <c r="B123" s="13" t="s">
        <v>565</v>
      </c>
      <c r="C123" s="13" t="s">
        <v>578</v>
      </c>
      <c r="D123" s="13">
        <v>2000</v>
      </c>
      <c r="E123" s="13">
        <v>2000</v>
      </c>
      <c r="F123">
        <f t="shared" si="25"/>
        <v>194329.7477810001</v>
      </c>
      <c r="G123" s="15">
        <v>186028.12300330549</v>
      </c>
      <c r="H123" s="7">
        <f t="shared" si="26"/>
        <v>0</v>
      </c>
      <c r="I123">
        <v>199232.92765800009</v>
      </c>
      <c r="J123" s="11">
        <f t="shared" si="27"/>
        <v>2.5231236766311383E-2</v>
      </c>
      <c r="K123" s="11">
        <f t="shared" si="28"/>
        <v>7.0982840881859383E-2</v>
      </c>
      <c r="L123" s="22">
        <v>4898.408497095108</v>
      </c>
      <c r="M123" s="7" t="s">
        <v>561</v>
      </c>
      <c r="N123" t="s">
        <v>561</v>
      </c>
      <c r="O123" t="s">
        <v>561</v>
      </c>
      <c r="P123" t="s">
        <v>561</v>
      </c>
      <c r="Q123" s="24" t="s">
        <v>561</v>
      </c>
      <c r="R123" s="7">
        <f t="shared" si="38"/>
        <v>1</v>
      </c>
      <c r="S123">
        <v>194329.7477810001</v>
      </c>
      <c r="T123" s="11">
        <f t="shared" si="39"/>
        <v>0</v>
      </c>
      <c r="U123" s="11">
        <f t="shared" si="40"/>
        <v>4.4625643927757641E-2</v>
      </c>
      <c r="V123" s="22">
        <v>7221.7825827598572</v>
      </c>
    </row>
    <row r="124" spans="1:22" x14ac:dyDescent="0.35">
      <c r="A124" s="14" t="s">
        <v>403</v>
      </c>
      <c r="B124" s="13" t="s">
        <v>565</v>
      </c>
      <c r="C124" s="13" t="s">
        <v>578</v>
      </c>
      <c r="D124" s="13">
        <v>2000</v>
      </c>
      <c r="E124" s="13">
        <v>2000</v>
      </c>
      <c r="F124">
        <f t="shared" si="25"/>
        <v>206824.149897</v>
      </c>
      <c r="G124" s="15">
        <v>194863.7817163257</v>
      </c>
      <c r="H124" s="7">
        <f t="shared" si="26"/>
        <v>0</v>
      </c>
      <c r="I124">
        <v>209365.7392990001</v>
      </c>
      <c r="J124" s="11">
        <f t="shared" si="27"/>
        <v>1.2288649092796129E-2</v>
      </c>
      <c r="K124" s="11">
        <f t="shared" si="28"/>
        <v>7.4421000428831471E-2</v>
      </c>
      <c r="L124" s="22">
        <v>4769.5821669101724</v>
      </c>
      <c r="M124" s="7" t="s">
        <v>561</v>
      </c>
      <c r="N124" t="s">
        <v>561</v>
      </c>
      <c r="O124" t="s">
        <v>561</v>
      </c>
      <c r="P124" t="s">
        <v>561</v>
      </c>
      <c r="Q124" s="24" t="s">
        <v>561</v>
      </c>
      <c r="R124" s="7">
        <f t="shared" si="38"/>
        <v>1</v>
      </c>
      <c r="S124">
        <v>206824.149897</v>
      </c>
      <c r="T124" s="11">
        <f t="shared" si="39"/>
        <v>0</v>
      </c>
      <c r="U124" s="11">
        <f t="shared" si="40"/>
        <v>6.1378097434677141E-2</v>
      </c>
      <c r="V124" s="22">
        <v>7226.085725069046</v>
      </c>
    </row>
    <row r="125" spans="1:22" x14ac:dyDescent="0.35">
      <c r="A125" s="14" t="s">
        <v>404</v>
      </c>
      <c r="B125" s="13" t="s">
        <v>565</v>
      </c>
      <c r="C125" s="13" t="s">
        <v>578</v>
      </c>
      <c r="D125" s="13">
        <v>2000</v>
      </c>
      <c r="E125" s="13">
        <v>2000</v>
      </c>
      <c r="F125">
        <f t="shared" si="25"/>
        <v>193186.6882540001</v>
      </c>
      <c r="G125" s="15">
        <v>183910.02730015761</v>
      </c>
      <c r="H125" s="7">
        <f t="shared" si="26"/>
        <v>0</v>
      </c>
      <c r="I125">
        <v>198491.32329199999</v>
      </c>
      <c r="J125" s="11">
        <f t="shared" si="27"/>
        <v>2.7458595030240413E-2</v>
      </c>
      <c r="K125" s="11">
        <f t="shared" si="28"/>
        <v>7.9284942783703655E-2</v>
      </c>
      <c r="L125" s="22">
        <v>4171.0229840278625</v>
      </c>
      <c r="M125" s="7" t="s">
        <v>561</v>
      </c>
      <c r="N125" t="s">
        <v>561</v>
      </c>
      <c r="O125" t="s">
        <v>561</v>
      </c>
      <c r="P125" t="s">
        <v>561</v>
      </c>
      <c r="Q125" s="24" t="s">
        <v>561</v>
      </c>
      <c r="R125" s="7">
        <f t="shared" si="38"/>
        <v>1</v>
      </c>
      <c r="S125">
        <v>193186.6882540001</v>
      </c>
      <c r="T125" s="11">
        <f t="shared" si="39"/>
        <v>0</v>
      </c>
      <c r="U125" s="11">
        <f t="shared" si="40"/>
        <v>5.0441300509961547E-2</v>
      </c>
      <c r="V125" s="22">
        <v>7229.6168034076691</v>
      </c>
    </row>
    <row r="126" spans="1:22" x14ac:dyDescent="0.35">
      <c r="A126" s="14" t="s">
        <v>405</v>
      </c>
      <c r="B126" s="13" t="s">
        <v>565</v>
      </c>
      <c r="C126" s="13" t="s">
        <v>578</v>
      </c>
      <c r="D126" s="13">
        <v>2000</v>
      </c>
      <c r="E126" s="13">
        <v>2000</v>
      </c>
      <c r="F126">
        <f t="shared" si="25"/>
        <v>197645.67014199999</v>
      </c>
      <c r="G126" s="15">
        <v>188170.22920159661</v>
      </c>
      <c r="H126" s="7">
        <f t="shared" si="26"/>
        <v>0</v>
      </c>
      <c r="I126">
        <v>202186.12088900001</v>
      </c>
      <c r="J126" s="11">
        <f t="shared" si="27"/>
        <v>2.2972680068012136E-2</v>
      </c>
      <c r="K126" s="11">
        <f t="shared" si="28"/>
        <v>7.4485170937361442E-2</v>
      </c>
      <c r="L126" s="22">
        <v>3497.5609140396118</v>
      </c>
      <c r="M126" s="7" t="s">
        <v>561</v>
      </c>
      <c r="N126" t="s">
        <v>561</v>
      </c>
      <c r="O126" t="s">
        <v>561</v>
      </c>
      <c r="P126" t="s">
        <v>561</v>
      </c>
      <c r="Q126" s="24" t="s">
        <v>561</v>
      </c>
      <c r="R126" s="7">
        <f t="shared" si="38"/>
        <v>1</v>
      </c>
      <c r="S126">
        <v>197645.67014199999</v>
      </c>
      <c r="T126" s="11">
        <f t="shared" si="39"/>
        <v>0</v>
      </c>
      <c r="U126" s="11">
        <f t="shared" si="40"/>
        <v>5.0355685809639124E-2</v>
      </c>
      <c r="V126" s="22">
        <v>7227.8900790214539</v>
      </c>
    </row>
    <row r="127" spans="1:22" x14ac:dyDescent="0.35">
      <c r="A127" s="14" t="s">
        <v>406</v>
      </c>
      <c r="B127" s="13" t="s">
        <v>565</v>
      </c>
      <c r="C127" s="13" t="s">
        <v>578</v>
      </c>
      <c r="D127" s="13">
        <v>2000</v>
      </c>
      <c r="E127" s="13">
        <v>2000</v>
      </c>
      <c r="F127">
        <f t="shared" si="25"/>
        <v>189706.8525960001</v>
      </c>
      <c r="G127" s="15">
        <v>180197.683349386</v>
      </c>
      <c r="H127" s="7">
        <f t="shared" si="26"/>
        <v>0</v>
      </c>
      <c r="I127">
        <v>193732.83793600011</v>
      </c>
      <c r="J127" s="11">
        <f t="shared" si="27"/>
        <v>2.1222139764100964E-2</v>
      </c>
      <c r="K127" s="11">
        <f t="shared" si="28"/>
        <v>7.5112811302744359E-2</v>
      </c>
      <c r="L127" s="22">
        <v>4127.4678330421448</v>
      </c>
      <c r="M127" s="7" t="s">
        <v>561</v>
      </c>
      <c r="N127" t="s">
        <v>561</v>
      </c>
      <c r="O127" t="s">
        <v>561</v>
      </c>
      <c r="P127" t="s">
        <v>561</v>
      </c>
      <c r="Q127" s="24" t="s">
        <v>561</v>
      </c>
      <c r="R127" s="7">
        <f t="shared" si="38"/>
        <v>1</v>
      </c>
      <c r="S127">
        <v>189706.8525960001</v>
      </c>
      <c r="T127" s="11">
        <f t="shared" si="39"/>
        <v>0</v>
      </c>
      <c r="U127" s="11">
        <f t="shared" si="40"/>
        <v>5.2770763030159103E-2</v>
      </c>
      <c r="V127" s="22">
        <v>7224.2613763809204</v>
      </c>
    </row>
    <row r="128" spans="1:22" x14ac:dyDescent="0.35">
      <c r="A128" s="14" t="s">
        <v>407</v>
      </c>
      <c r="B128" s="13" t="s">
        <v>565</v>
      </c>
      <c r="C128" s="13" t="s">
        <v>578</v>
      </c>
      <c r="D128" s="13">
        <v>2000</v>
      </c>
      <c r="E128" s="13">
        <v>2000</v>
      </c>
      <c r="F128">
        <f t="shared" si="25"/>
        <v>96827.57877599998</v>
      </c>
      <c r="G128" s="15">
        <v>93881.417851478443</v>
      </c>
      <c r="H128" s="7">
        <f t="shared" si="26"/>
        <v>0</v>
      </c>
      <c r="I128">
        <v>99393.21830800001</v>
      </c>
      <c r="J128" s="11">
        <f t="shared" si="27"/>
        <v>2.6496991502135532E-2</v>
      </c>
      <c r="K128" s="11">
        <f t="shared" si="28"/>
        <v>5.8710238752905319E-2</v>
      </c>
      <c r="L128" s="22">
        <v>1681.9117140769961</v>
      </c>
      <c r="M128" s="7">
        <f t="shared" ref="M128:M138" si="44">IF(O128&lt;=0.0001,1,0)</f>
        <v>0</v>
      </c>
      <c r="N128">
        <v>96855.144541999995</v>
      </c>
      <c r="O128" s="11">
        <f t="shared" ref="O128:O138" si="45">(N128-$F128)/$F128</f>
        <v>2.8468920062314735E-4</v>
      </c>
      <c r="P128" s="11">
        <f t="shared" ref="P128:P138" si="46">(N128-$G128)/$G128</f>
        <v>3.1675349164687984E-2</v>
      </c>
      <c r="Q128" s="22">
        <v>7209.0450761318207</v>
      </c>
      <c r="R128" s="7">
        <f t="shared" si="38"/>
        <v>1</v>
      </c>
      <c r="S128">
        <v>96827.57877599998</v>
      </c>
      <c r="T128" s="11">
        <f t="shared" si="39"/>
        <v>0</v>
      </c>
      <c r="U128" s="11">
        <f t="shared" si="40"/>
        <v>3.1381725925596904E-2</v>
      </c>
      <c r="V128" s="22">
        <v>7218.0275106430054</v>
      </c>
    </row>
    <row r="129" spans="1:22" x14ac:dyDescent="0.35">
      <c r="A129" s="14" t="s">
        <v>408</v>
      </c>
      <c r="B129" s="13" t="s">
        <v>565</v>
      </c>
      <c r="C129" s="13" t="s">
        <v>578</v>
      </c>
      <c r="D129" s="13">
        <v>2000</v>
      </c>
      <c r="E129" s="13">
        <v>2000</v>
      </c>
      <c r="F129">
        <f t="shared" si="25"/>
        <v>97667.286867000017</v>
      </c>
      <c r="G129" s="15">
        <v>94956.788393147712</v>
      </c>
      <c r="H129" s="7">
        <f t="shared" si="26"/>
        <v>0</v>
      </c>
      <c r="I129">
        <v>100592.379879</v>
      </c>
      <c r="J129" s="11">
        <f t="shared" si="27"/>
        <v>2.9949567617080168E-2</v>
      </c>
      <c r="K129" s="11">
        <f t="shared" si="28"/>
        <v>5.9349011073535476E-2</v>
      </c>
      <c r="L129" s="22">
        <v>1336.266670942307</v>
      </c>
      <c r="M129" s="7">
        <f t="shared" si="44"/>
        <v>1</v>
      </c>
      <c r="N129">
        <v>97667.286867000017</v>
      </c>
      <c r="O129" s="11">
        <f t="shared" si="45"/>
        <v>0</v>
      </c>
      <c r="P129" s="11">
        <f t="shared" si="46"/>
        <v>2.8544546627146679E-2</v>
      </c>
      <c r="Q129" s="22">
        <v>7209.2555139064789</v>
      </c>
      <c r="R129" s="7">
        <f t="shared" si="38"/>
        <v>0</v>
      </c>
      <c r="S129">
        <v>98392.138704000012</v>
      </c>
      <c r="T129" s="11">
        <f t="shared" si="39"/>
        <v>7.4216440350910254E-3</v>
      </c>
      <c r="U129" s="11">
        <f t="shared" si="40"/>
        <v>3.6178038126447445E-2</v>
      </c>
      <c r="V129" s="22">
        <v>3559.3609142303467</v>
      </c>
    </row>
    <row r="130" spans="1:22" x14ac:dyDescent="0.35">
      <c r="A130" s="14" t="s">
        <v>409</v>
      </c>
      <c r="B130" s="13" t="s">
        <v>565</v>
      </c>
      <c r="C130" s="13" t="s">
        <v>578</v>
      </c>
      <c r="D130" s="13">
        <v>2000</v>
      </c>
      <c r="E130" s="13">
        <v>2000</v>
      </c>
      <c r="F130">
        <f t="shared" ref="F130:F193" si="47">MIN(I130,N130,S130)</f>
        <v>98726.573714000042</v>
      </c>
      <c r="G130" s="15">
        <v>96466.180796371904</v>
      </c>
      <c r="H130" s="7">
        <f t="shared" ref="H130:H193" si="48">IF(J130&lt;=0.0001,1,0)</f>
        <v>0</v>
      </c>
      <c r="I130">
        <v>102850.15665999999</v>
      </c>
      <c r="J130" s="11">
        <f t="shared" ref="J130:J193" si="49">(I130-$F130)/$F130</f>
        <v>4.176771046410984E-2</v>
      </c>
      <c r="K130" s="11">
        <f t="shared" ref="K130:K193" si="50">(I130-$G130)/$G130</f>
        <v>6.6178383044974767E-2</v>
      </c>
      <c r="L130" s="22">
        <v>1309.077574968338</v>
      </c>
      <c r="M130" s="7">
        <f t="shared" si="44"/>
        <v>1</v>
      </c>
      <c r="N130">
        <v>98726.573714000042</v>
      </c>
      <c r="O130" s="11">
        <f t="shared" si="45"/>
        <v>0</v>
      </c>
      <c r="P130" s="11">
        <f t="shared" si="46"/>
        <v>2.3431972728344519E-2</v>
      </c>
      <c r="Q130" s="22">
        <v>7210.9344747066498</v>
      </c>
      <c r="R130" s="7">
        <f t="shared" ref="R130:R166" si="51">IF(T130&lt;=0.0001,1,0)</f>
        <v>0</v>
      </c>
      <c r="S130">
        <v>99817.555767000027</v>
      </c>
      <c r="T130" s="11">
        <f t="shared" ref="T130:T161" si="52">(S130-$F130)/$F130</f>
        <v>1.1050541024146543E-2</v>
      </c>
      <c r="U130" s="11">
        <f t="shared" ref="U130:U166" si="53">(S130-$G130)/$G130</f>
        <v>3.4741449728402311E-2</v>
      </c>
      <c r="V130" s="22">
        <v>7211.3061656951904</v>
      </c>
    </row>
    <row r="131" spans="1:22" x14ac:dyDescent="0.35">
      <c r="A131" s="14" t="s">
        <v>410</v>
      </c>
      <c r="B131" s="13" t="s">
        <v>565</v>
      </c>
      <c r="C131" s="13" t="s">
        <v>578</v>
      </c>
      <c r="D131" s="13">
        <v>2000</v>
      </c>
      <c r="E131" s="13">
        <v>2000</v>
      </c>
      <c r="F131">
        <f t="shared" si="47"/>
        <v>99752.155027999994</v>
      </c>
      <c r="G131" s="15">
        <v>96895.147612374756</v>
      </c>
      <c r="H131" s="7">
        <f t="shared" si="48"/>
        <v>0</v>
      </c>
      <c r="I131">
        <v>101134.09056900001</v>
      </c>
      <c r="J131" s="11">
        <f t="shared" si="49"/>
        <v>1.385369108679517E-2</v>
      </c>
      <c r="K131" s="11">
        <f t="shared" si="50"/>
        <v>4.3747732069958516E-2</v>
      </c>
      <c r="L131" s="22">
        <v>1872.8363058567049</v>
      </c>
      <c r="M131" s="7">
        <f t="shared" si="44"/>
        <v>0</v>
      </c>
      <c r="N131">
        <v>99917.766171999974</v>
      </c>
      <c r="O131" s="11">
        <f t="shared" si="45"/>
        <v>1.6602262272278137E-3</v>
      </c>
      <c r="P131" s="11">
        <f t="shared" si="46"/>
        <v>3.119473610502236E-2</v>
      </c>
      <c r="Q131" s="22">
        <v>7210.4446856975565</v>
      </c>
      <c r="R131" s="7">
        <f t="shared" si="51"/>
        <v>1</v>
      </c>
      <c r="S131">
        <v>99752.155027999994</v>
      </c>
      <c r="T131" s="11">
        <f t="shared" si="52"/>
        <v>0</v>
      </c>
      <c r="U131" s="11">
        <f t="shared" si="53"/>
        <v>2.9485557182435843E-2</v>
      </c>
      <c r="V131" s="22">
        <v>7213.4499220848083</v>
      </c>
    </row>
    <row r="132" spans="1:22" x14ac:dyDescent="0.35">
      <c r="A132" s="14" t="s">
        <v>411</v>
      </c>
      <c r="B132" s="13" t="s">
        <v>565</v>
      </c>
      <c r="C132" s="13" t="s">
        <v>578</v>
      </c>
      <c r="D132" s="13">
        <v>2000</v>
      </c>
      <c r="E132" s="13">
        <v>2000</v>
      </c>
      <c r="F132">
        <f t="shared" si="47"/>
        <v>97837.596683000011</v>
      </c>
      <c r="G132" s="15">
        <v>94695.454532949909</v>
      </c>
      <c r="H132" s="7">
        <f t="shared" si="48"/>
        <v>0</v>
      </c>
      <c r="I132">
        <v>101294.00805600001</v>
      </c>
      <c r="J132" s="11">
        <f t="shared" si="49"/>
        <v>3.532804862530492E-2</v>
      </c>
      <c r="K132" s="11">
        <f t="shared" si="50"/>
        <v>6.9681840122052391E-2</v>
      </c>
      <c r="L132" s="22">
        <v>1314.694883108139</v>
      </c>
      <c r="M132" s="7">
        <f t="shared" si="44"/>
        <v>1</v>
      </c>
      <c r="N132">
        <v>97837.596683000011</v>
      </c>
      <c r="O132" s="11">
        <f t="shared" si="45"/>
        <v>0</v>
      </c>
      <c r="P132" s="11">
        <f t="shared" si="46"/>
        <v>3.3181552013742885E-2</v>
      </c>
      <c r="Q132" s="22">
        <v>7209.1104035377502</v>
      </c>
      <c r="R132" s="7">
        <f t="shared" si="51"/>
        <v>0</v>
      </c>
      <c r="S132">
        <v>98022.262704000008</v>
      </c>
      <c r="T132" s="11">
        <f t="shared" si="52"/>
        <v>1.8874750327149473E-3</v>
      </c>
      <c r="U132" s="11">
        <f t="shared" si="53"/>
        <v>3.5131656397430502E-2</v>
      </c>
      <c r="V132" s="22">
        <v>7232.0866420269012</v>
      </c>
    </row>
    <row r="133" spans="1:22" x14ac:dyDescent="0.35">
      <c r="A133" s="14" t="s">
        <v>412</v>
      </c>
      <c r="B133" s="13" t="s">
        <v>565</v>
      </c>
      <c r="C133" s="13" t="s">
        <v>578</v>
      </c>
      <c r="D133" s="13">
        <v>2000</v>
      </c>
      <c r="E133" s="13">
        <v>2000</v>
      </c>
      <c r="F133">
        <f t="shared" si="47"/>
        <v>48139.56454799998</v>
      </c>
      <c r="G133" s="15">
        <v>47461.530214899467</v>
      </c>
      <c r="H133" s="7">
        <f t="shared" si="48"/>
        <v>0</v>
      </c>
      <c r="I133">
        <v>50923.609992999991</v>
      </c>
      <c r="J133" s="11">
        <f t="shared" si="49"/>
        <v>5.7832792447136447E-2</v>
      </c>
      <c r="K133" s="11">
        <f t="shared" si="50"/>
        <v>7.2944967480498196E-2</v>
      </c>
      <c r="L133" s="22">
        <v>1035.5464489459989</v>
      </c>
      <c r="M133" s="7">
        <f t="shared" si="44"/>
        <v>0</v>
      </c>
      <c r="N133">
        <v>48181.148458000003</v>
      </c>
      <c r="O133" s="11">
        <f t="shared" si="45"/>
        <v>8.63819820359191E-4</v>
      </c>
      <c r="P133" s="11">
        <f t="shared" si="46"/>
        <v>1.5162137416181085E-2</v>
      </c>
      <c r="Q133" s="22">
        <v>7213.3847510814667</v>
      </c>
      <c r="R133" s="7">
        <f t="shared" si="51"/>
        <v>1</v>
      </c>
      <c r="S133">
        <v>48139.56454799998</v>
      </c>
      <c r="T133" s="11">
        <f t="shared" si="52"/>
        <v>0</v>
      </c>
      <c r="U133" s="11">
        <f t="shared" si="53"/>
        <v>1.4285977085662102E-2</v>
      </c>
      <c r="V133" s="22">
        <v>1386.3069293498991</v>
      </c>
    </row>
    <row r="134" spans="1:22" x14ac:dyDescent="0.35">
      <c r="A134" s="14" t="s">
        <v>413</v>
      </c>
      <c r="B134" s="13" t="s">
        <v>565</v>
      </c>
      <c r="C134" s="13" t="s">
        <v>578</v>
      </c>
      <c r="D134" s="13">
        <v>2000</v>
      </c>
      <c r="E134" s="13">
        <v>2000</v>
      </c>
      <c r="F134">
        <f t="shared" si="47"/>
        <v>48684.381433000002</v>
      </c>
      <c r="G134" s="15">
        <v>48151.376989197692</v>
      </c>
      <c r="H134" s="7">
        <f t="shared" si="48"/>
        <v>0</v>
      </c>
      <c r="I134">
        <v>50955.449175000023</v>
      </c>
      <c r="J134" s="11">
        <f t="shared" si="49"/>
        <v>4.6648795263538274E-2</v>
      </c>
      <c r="K134" s="11">
        <f t="shared" si="50"/>
        <v>5.8234517082063904E-2</v>
      </c>
      <c r="L134" s="22">
        <v>1035.9495990276339</v>
      </c>
      <c r="M134" s="7">
        <f t="shared" si="44"/>
        <v>0</v>
      </c>
      <c r="N134">
        <v>48765.07050300001</v>
      </c>
      <c r="O134" s="11">
        <f t="shared" si="45"/>
        <v>1.6573912952155476E-3</v>
      </c>
      <c r="P134" s="11">
        <f t="shared" si="46"/>
        <v>1.2745087517227069E-2</v>
      </c>
      <c r="Q134" s="22">
        <v>7214.1419696807861</v>
      </c>
      <c r="R134" s="7">
        <f t="shared" si="51"/>
        <v>1</v>
      </c>
      <c r="S134">
        <v>48684.381433000002</v>
      </c>
      <c r="T134" s="11">
        <f t="shared" si="52"/>
        <v>0</v>
      </c>
      <c r="U134" s="11">
        <f t="shared" si="53"/>
        <v>1.1069349977714762E-2</v>
      </c>
      <c r="V134" s="22">
        <v>1371.51152586937</v>
      </c>
    </row>
    <row r="135" spans="1:22" x14ac:dyDescent="0.35">
      <c r="A135" s="14" t="s">
        <v>414</v>
      </c>
      <c r="B135" s="13" t="s">
        <v>565</v>
      </c>
      <c r="C135" s="13" t="s">
        <v>578</v>
      </c>
      <c r="D135" s="13">
        <v>2000</v>
      </c>
      <c r="E135" s="13">
        <v>2000</v>
      </c>
      <c r="F135">
        <f t="shared" si="47"/>
        <v>48194.930767999991</v>
      </c>
      <c r="G135" s="15">
        <v>47728.945133191643</v>
      </c>
      <c r="H135" s="7">
        <f t="shared" si="48"/>
        <v>0</v>
      </c>
      <c r="I135">
        <v>51207.956140000002</v>
      </c>
      <c r="J135" s="11">
        <f t="shared" si="49"/>
        <v>6.251747484614234E-2</v>
      </c>
      <c r="K135" s="11">
        <f t="shared" si="50"/>
        <v>7.2891009786616612E-2</v>
      </c>
      <c r="L135" s="22">
        <v>1438.756930112839</v>
      </c>
      <c r="M135" s="7">
        <f t="shared" si="44"/>
        <v>0</v>
      </c>
      <c r="N135">
        <v>48332.553583999987</v>
      </c>
      <c r="O135" s="11">
        <f t="shared" si="45"/>
        <v>2.8555454651959578E-3</v>
      </c>
      <c r="P135" s="11">
        <f t="shared" si="46"/>
        <v>1.2646591059658324E-2</v>
      </c>
      <c r="Q135" s="22">
        <v>7208.8278439044952</v>
      </c>
      <c r="R135" s="7">
        <f t="shared" si="51"/>
        <v>1</v>
      </c>
      <c r="S135">
        <v>48194.930767999991</v>
      </c>
      <c r="T135" s="11">
        <f t="shared" si="52"/>
        <v>0</v>
      </c>
      <c r="U135" s="11">
        <f t="shared" si="53"/>
        <v>9.7631664288405362E-3</v>
      </c>
      <c r="V135" s="22">
        <v>1388.877898216248</v>
      </c>
    </row>
    <row r="136" spans="1:22" x14ac:dyDescent="0.35">
      <c r="A136" s="14" t="s">
        <v>415</v>
      </c>
      <c r="B136" s="13" t="s">
        <v>565</v>
      </c>
      <c r="C136" s="13" t="s">
        <v>578</v>
      </c>
      <c r="D136" s="13">
        <v>2000</v>
      </c>
      <c r="E136" s="13">
        <v>2000</v>
      </c>
      <c r="F136">
        <f t="shared" si="47"/>
        <v>47719.57254600001</v>
      </c>
      <c r="G136" s="15">
        <v>47014.796272809312</v>
      </c>
      <c r="H136" s="7">
        <f t="shared" si="48"/>
        <v>0</v>
      </c>
      <c r="I136">
        <v>49442.768365000033</v>
      </c>
      <c r="J136" s="11">
        <f t="shared" si="49"/>
        <v>3.6110881281237829E-2</v>
      </c>
      <c r="K136" s="11">
        <f t="shared" si="50"/>
        <v>5.1642722816496012E-2</v>
      </c>
      <c r="L136" s="22">
        <v>1047.7917191982269</v>
      </c>
      <c r="M136" s="7">
        <f t="shared" si="44"/>
        <v>0</v>
      </c>
      <c r="N136">
        <v>47755.330693000004</v>
      </c>
      <c r="O136" s="11">
        <f t="shared" si="45"/>
        <v>7.4933921433440278E-4</v>
      </c>
      <c r="P136" s="11">
        <f t="shared" si="46"/>
        <v>1.5751092823919666E-2</v>
      </c>
      <c r="Q136" s="22">
        <v>7212.2003345489502</v>
      </c>
      <c r="R136" s="7">
        <f t="shared" si="51"/>
        <v>1</v>
      </c>
      <c r="S136">
        <v>47719.57254600001</v>
      </c>
      <c r="T136" s="11">
        <f t="shared" si="52"/>
        <v>0</v>
      </c>
      <c r="U136" s="11">
        <f t="shared" si="53"/>
        <v>1.4990520624637935E-2</v>
      </c>
      <c r="V136" s="22">
        <v>1355.9826941490171</v>
      </c>
    </row>
    <row r="137" spans="1:22" x14ac:dyDescent="0.35">
      <c r="A137" s="14" t="s">
        <v>416</v>
      </c>
      <c r="B137" s="13" t="s">
        <v>565</v>
      </c>
      <c r="C137" s="13" t="s">
        <v>578</v>
      </c>
      <c r="D137" s="13">
        <v>2000</v>
      </c>
      <c r="E137" s="13">
        <v>2000</v>
      </c>
      <c r="F137">
        <f t="shared" si="47"/>
        <v>49609.823520000013</v>
      </c>
      <c r="G137" s="15">
        <v>48910.250593213867</v>
      </c>
      <c r="H137" s="7">
        <f t="shared" si="48"/>
        <v>0</v>
      </c>
      <c r="I137">
        <v>52741.965686000003</v>
      </c>
      <c r="J137" s="11">
        <f t="shared" si="49"/>
        <v>6.3135523244449349E-2</v>
      </c>
      <c r="K137" s="11">
        <f t="shared" si="50"/>
        <v>7.8341759576218042E-2</v>
      </c>
      <c r="L137" s="22">
        <v>1019.013334989548</v>
      </c>
      <c r="M137" s="7">
        <f t="shared" si="44"/>
        <v>1</v>
      </c>
      <c r="N137">
        <v>49609.823520000013</v>
      </c>
      <c r="O137" s="11">
        <f t="shared" si="45"/>
        <v>0</v>
      </c>
      <c r="P137" s="11">
        <f t="shared" si="46"/>
        <v>1.4303196534495154E-2</v>
      </c>
      <c r="Q137" s="22">
        <v>7211.6924629211426</v>
      </c>
      <c r="R137" s="7">
        <f t="shared" si="51"/>
        <v>0</v>
      </c>
      <c r="S137">
        <v>49699.015384000013</v>
      </c>
      <c r="T137" s="11">
        <f t="shared" si="52"/>
        <v>1.7978669882597544E-3</v>
      </c>
      <c r="U137" s="11">
        <f t="shared" si="53"/>
        <v>1.612677876763087E-2</v>
      </c>
      <c r="V137" s="22">
        <v>1441.4455246925349</v>
      </c>
    </row>
    <row r="138" spans="1:22" x14ac:dyDescent="0.35">
      <c r="A138" s="14" t="s">
        <v>441</v>
      </c>
      <c r="B138" s="13" t="s">
        <v>565</v>
      </c>
      <c r="C138" s="13" t="s">
        <v>578</v>
      </c>
      <c r="D138" s="13">
        <v>2000</v>
      </c>
      <c r="E138" s="13">
        <v>2000</v>
      </c>
      <c r="F138">
        <f t="shared" si="47"/>
        <v>1197779.6752559999</v>
      </c>
      <c r="G138" s="15">
        <v>1080084.491497325</v>
      </c>
      <c r="H138" s="7">
        <f t="shared" si="48"/>
        <v>0</v>
      </c>
      <c r="I138">
        <v>1227554.7501020001</v>
      </c>
      <c r="J138" s="11">
        <f t="shared" si="49"/>
        <v>2.4858557430135379E-2</v>
      </c>
      <c r="K138" s="11">
        <f t="shared" si="50"/>
        <v>0.13653585415362876</v>
      </c>
      <c r="L138" s="22">
        <v>7201.7</v>
      </c>
      <c r="M138" s="7">
        <f t="shared" si="44"/>
        <v>0</v>
      </c>
      <c r="N138">
        <v>1344594.654127999</v>
      </c>
      <c r="O138" s="11">
        <f t="shared" si="45"/>
        <v>0.12257260822247673</v>
      </c>
      <c r="P138" s="11">
        <f t="shared" si="46"/>
        <v>0.24489765820448228</v>
      </c>
      <c r="Q138" s="22">
        <v>7469.4556560516357</v>
      </c>
      <c r="R138" s="7">
        <f t="shared" si="51"/>
        <v>1</v>
      </c>
      <c r="S138">
        <v>1197779.6752559999</v>
      </c>
      <c r="T138" s="11">
        <f t="shared" si="52"/>
        <v>0</v>
      </c>
      <c r="U138" s="11">
        <f t="shared" si="53"/>
        <v>0.10896849708073637</v>
      </c>
      <c r="V138" s="22">
        <v>7269.1538052558899</v>
      </c>
    </row>
    <row r="139" spans="1:22" x14ac:dyDescent="0.35">
      <c r="A139" s="14" t="s">
        <v>452</v>
      </c>
      <c r="B139" s="13" t="s">
        <v>565</v>
      </c>
      <c r="C139" s="13" t="s">
        <v>578</v>
      </c>
      <c r="D139" s="13">
        <v>2000</v>
      </c>
      <c r="E139" s="13">
        <v>2000</v>
      </c>
      <c r="F139">
        <f t="shared" si="47"/>
        <v>1126867.4037629999</v>
      </c>
      <c r="G139" s="15">
        <v>1063236.0104167061</v>
      </c>
      <c r="H139" s="7">
        <f t="shared" si="48"/>
        <v>1</v>
      </c>
      <c r="I139">
        <v>1126867.4037629999</v>
      </c>
      <c r="J139" s="11">
        <f t="shared" si="49"/>
        <v>0</v>
      </c>
      <c r="K139" s="11">
        <f t="shared" si="50"/>
        <v>5.9846913312647541E-2</v>
      </c>
      <c r="L139" s="22">
        <v>7202.5</v>
      </c>
      <c r="M139" s="7" t="s">
        <v>561</v>
      </c>
      <c r="N139" t="s">
        <v>561</v>
      </c>
      <c r="O139" t="s">
        <v>561</v>
      </c>
      <c r="P139" t="s">
        <v>561</v>
      </c>
      <c r="Q139" s="24" t="s">
        <v>561</v>
      </c>
      <c r="R139" s="7">
        <f t="shared" si="51"/>
        <v>0</v>
      </c>
      <c r="S139">
        <v>1185192.544059</v>
      </c>
      <c r="T139" s="11">
        <f t="shared" si="52"/>
        <v>5.1758654213647712E-2</v>
      </c>
      <c r="U139" s="11">
        <f t="shared" si="53"/>
        <v>0.11470316321819873</v>
      </c>
      <c r="V139" s="22">
        <v>7271.1741216182709</v>
      </c>
    </row>
    <row r="140" spans="1:22" x14ac:dyDescent="0.35">
      <c r="A140" s="14" t="s">
        <v>463</v>
      </c>
      <c r="B140" s="13" t="s">
        <v>565</v>
      </c>
      <c r="C140" s="13" t="s">
        <v>578</v>
      </c>
      <c r="D140" s="13">
        <v>2000</v>
      </c>
      <c r="E140" s="13">
        <v>2000</v>
      </c>
      <c r="F140">
        <f t="shared" si="47"/>
        <v>1180510.715539</v>
      </c>
      <c r="G140" s="15">
        <v>1063507.5884136739</v>
      </c>
      <c r="H140" s="7">
        <f t="shared" si="48"/>
        <v>0</v>
      </c>
      <c r="I140">
        <v>1190863.125641</v>
      </c>
      <c r="J140" s="11">
        <f t="shared" si="49"/>
        <v>8.7694334034683196E-3</v>
      </c>
      <c r="K140" s="11">
        <f t="shared" si="50"/>
        <v>0.11975047344729281</v>
      </c>
      <c r="L140" s="22">
        <v>7202.4</v>
      </c>
      <c r="M140" s="7">
        <f>IF(O140&lt;=0.0001,1,0)</f>
        <v>0</v>
      </c>
      <c r="N140">
        <v>1192444.8192720001</v>
      </c>
      <c r="O140" s="11">
        <f>(N140-$F140)/$F140</f>
        <v>1.0109271839647145E-2</v>
      </c>
      <c r="P140" s="11">
        <f>(N140-$G140)/$G140</f>
        <v>0.12123771589693003</v>
      </c>
      <c r="Q140" s="22">
        <v>7643.6704092025757</v>
      </c>
      <c r="R140" s="7">
        <f t="shared" si="51"/>
        <v>1</v>
      </c>
      <c r="S140">
        <v>1180510.715539</v>
      </c>
      <c r="T140" s="11">
        <f t="shared" si="52"/>
        <v>0</v>
      </c>
      <c r="U140" s="11">
        <f t="shared" si="53"/>
        <v>0.11001625978038176</v>
      </c>
      <c r="V140" s="22">
        <v>7274.3155827522278</v>
      </c>
    </row>
    <row r="141" spans="1:22" x14ac:dyDescent="0.35">
      <c r="A141" s="14" t="s">
        <v>474</v>
      </c>
      <c r="B141" s="13" t="s">
        <v>565</v>
      </c>
      <c r="C141" s="13" t="s">
        <v>578</v>
      </c>
      <c r="D141" s="13">
        <v>2000</v>
      </c>
      <c r="E141" s="13">
        <v>2000</v>
      </c>
      <c r="F141">
        <f t="shared" si="47"/>
        <v>1221230.623835</v>
      </c>
      <c r="G141" s="15">
        <v>1116255.5171652811</v>
      </c>
      <c r="H141" s="7">
        <f t="shared" si="48"/>
        <v>0</v>
      </c>
      <c r="I141">
        <v>1279233.1049009999</v>
      </c>
      <c r="J141" s="11">
        <f t="shared" si="49"/>
        <v>4.7495108568319559E-2</v>
      </c>
      <c r="K141" s="11">
        <f t="shared" si="50"/>
        <v>0.14600383624494745</v>
      </c>
      <c r="L141" s="22">
        <v>7201.4</v>
      </c>
      <c r="M141" s="7">
        <f>IF(O141&lt;=0.0001,1,0)</f>
        <v>1</v>
      </c>
      <c r="N141">
        <v>1221230.623835</v>
      </c>
      <c r="O141" s="11">
        <f>(N141-$F141)/$F141</f>
        <v>0</v>
      </c>
      <c r="P141" s="11">
        <f>(N141-$G141)/$G141</f>
        <v>9.4042183940377749E-2</v>
      </c>
      <c r="Q141" s="22">
        <v>7563.5033588409424</v>
      </c>
      <c r="R141" s="7">
        <f t="shared" si="51"/>
        <v>0</v>
      </c>
      <c r="S141">
        <v>1240609.0869630009</v>
      </c>
      <c r="T141" s="11">
        <f t="shared" si="52"/>
        <v>1.586798001113603E-2</v>
      </c>
      <c r="U141" s="11">
        <f t="shared" si="53"/>
        <v>0.11140242344648328</v>
      </c>
      <c r="V141" s="22">
        <v>7282.33748960495</v>
      </c>
    </row>
    <row r="142" spans="1:22" x14ac:dyDescent="0.35">
      <c r="A142" s="14" t="s">
        <v>500</v>
      </c>
      <c r="B142" s="13" t="s">
        <v>569</v>
      </c>
      <c r="C142" s="13" t="s">
        <v>579</v>
      </c>
      <c r="D142" s="13">
        <v>800</v>
      </c>
      <c r="E142" s="13">
        <v>4400</v>
      </c>
      <c r="F142">
        <f t="shared" si="47"/>
        <v>1038410.834625999</v>
      </c>
      <c r="G142" s="15">
        <v>993027.79879733222</v>
      </c>
      <c r="H142" s="7">
        <f t="shared" si="48"/>
        <v>0</v>
      </c>
      <c r="I142">
        <v>1046383.496469999</v>
      </c>
      <c r="J142" s="11">
        <f t="shared" si="49"/>
        <v>7.6777529453180976E-3</v>
      </c>
      <c r="K142" s="11">
        <f t="shared" si="50"/>
        <v>5.3730316248232393E-2</v>
      </c>
      <c r="L142" s="22">
        <v>2525.138085842133</v>
      </c>
      <c r="M142" s="7">
        <f>IF(O142&lt;=0.0001,1,0)</f>
        <v>0</v>
      </c>
      <c r="N142">
        <v>1040939.512820999</v>
      </c>
      <c r="O142" s="11">
        <f>(N142-$F142)/$F142</f>
        <v>2.4351423450919498E-3</v>
      </c>
      <c r="P142" s="11">
        <f>(N142-$G142)/$G142</f>
        <v>4.8248109551105471E-2</v>
      </c>
      <c r="Q142" s="22">
        <v>7211.5793569087982</v>
      </c>
      <c r="R142" s="7">
        <f t="shared" si="51"/>
        <v>1</v>
      </c>
      <c r="S142">
        <v>1038410.834625999</v>
      </c>
      <c r="T142" s="11">
        <f t="shared" si="52"/>
        <v>0</v>
      </c>
      <c r="U142" s="11">
        <f t="shared" si="53"/>
        <v>4.5701677116824622E-2</v>
      </c>
      <c r="V142" s="22">
        <v>7227.8855216503143</v>
      </c>
    </row>
    <row r="143" spans="1:22" x14ac:dyDescent="0.35">
      <c r="A143" s="14" t="s">
        <v>501</v>
      </c>
      <c r="B143" s="13" t="s">
        <v>569</v>
      </c>
      <c r="C143" s="13" t="s">
        <v>579</v>
      </c>
      <c r="D143" s="13">
        <v>800</v>
      </c>
      <c r="E143" s="13">
        <v>4400</v>
      </c>
      <c r="F143">
        <f t="shared" si="47"/>
        <v>1065128.2229439991</v>
      </c>
      <c r="G143" s="15">
        <v>1017885.396211216</v>
      </c>
      <c r="H143" s="7">
        <f t="shared" si="48"/>
        <v>0</v>
      </c>
      <c r="I143">
        <v>1075121.3360789991</v>
      </c>
      <c r="J143" s="11">
        <f t="shared" si="49"/>
        <v>9.3820752466582582E-3</v>
      </c>
      <c r="K143" s="11">
        <f t="shared" si="50"/>
        <v>5.6230239750788585E-2</v>
      </c>
      <c r="L143" s="22">
        <v>2531.9944729804988</v>
      </c>
      <c r="M143" s="7" t="s">
        <v>561</v>
      </c>
      <c r="N143" t="s">
        <v>561</v>
      </c>
      <c r="O143" t="s">
        <v>561</v>
      </c>
      <c r="P143" t="s">
        <v>561</v>
      </c>
      <c r="Q143" s="24" t="s">
        <v>561</v>
      </c>
      <c r="R143" s="7">
        <f t="shared" si="51"/>
        <v>1</v>
      </c>
      <c r="S143">
        <v>1065128.2229439991</v>
      </c>
      <c r="T143" s="11">
        <f t="shared" si="52"/>
        <v>0</v>
      </c>
      <c r="U143" s="11">
        <f t="shared" si="53"/>
        <v>4.6412716901756204E-2</v>
      </c>
      <c r="V143" s="22">
        <v>1473.909927845001</v>
      </c>
    </row>
    <row r="144" spans="1:22" x14ac:dyDescent="0.35">
      <c r="A144" s="14" t="s">
        <v>502</v>
      </c>
      <c r="B144" s="13" t="s">
        <v>569</v>
      </c>
      <c r="C144" s="13" t="s">
        <v>579</v>
      </c>
      <c r="D144" s="13">
        <v>800</v>
      </c>
      <c r="E144" s="13">
        <v>4400</v>
      </c>
      <c r="F144">
        <f t="shared" si="47"/>
        <v>1068782.216604</v>
      </c>
      <c r="G144" s="15">
        <v>1022396.780684301</v>
      </c>
      <c r="H144" s="7">
        <f t="shared" si="48"/>
        <v>1</v>
      </c>
      <c r="I144">
        <v>1068782.216604</v>
      </c>
      <c r="J144" s="11">
        <f t="shared" si="49"/>
        <v>0</v>
      </c>
      <c r="K144" s="11">
        <f t="shared" si="50"/>
        <v>4.5369309446233429E-2</v>
      </c>
      <c r="L144" s="22">
        <v>3418.447010993958</v>
      </c>
      <c r="M144" s="7">
        <f>IF(O144&lt;=0.0001,1,0)</f>
        <v>0</v>
      </c>
      <c r="N144">
        <v>2762291.8673549988</v>
      </c>
      <c r="O144" s="11">
        <f>(N144-$F144)/$F144</f>
        <v>1.5845226692974346</v>
      </c>
      <c r="P144" s="11">
        <f>(N144-$G144)/$G144</f>
        <v>1.7017806780515949</v>
      </c>
      <c r="Q144" s="22">
        <v>4822.6190028190504</v>
      </c>
      <c r="R144" s="7">
        <f t="shared" si="51"/>
        <v>0</v>
      </c>
      <c r="S144">
        <v>1075670.300934999</v>
      </c>
      <c r="T144" s="11">
        <f t="shared" si="52"/>
        <v>6.4447969137113731E-3</v>
      </c>
      <c r="U144" s="11">
        <f t="shared" si="53"/>
        <v>5.2106502345441105E-2</v>
      </c>
      <c r="V144" s="22">
        <v>1469.4479100704191</v>
      </c>
    </row>
    <row r="145" spans="1:22" x14ac:dyDescent="0.35">
      <c r="A145" s="14" t="s">
        <v>503</v>
      </c>
      <c r="B145" s="13" t="s">
        <v>569</v>
      </c>
      <c r="C145" s="13" t="s">
        <v>579</v>
      </c>
      <c r="D145" s="13">
        <v>800</v>
      </c>
      <c r="E145" s="13">
        <v>4400</v>
      </c>
      <c r="F145">
        <f t="shared" si="47"/>
        <v>1067326.314082999</v>
      </c>
      <c r="G145" s="15">
        <v>1015055.384051985</v>
      </c>
      <c r="H145" s="7">
        <f t="shared" si="48"/>
        <v>0</v>
      </c>
      <c r="I145">
        <v>1072487.8659589989</v>
      </c>
      <c r="J145" s="11">
        <f t="shared" si="49"/>
        <v>4.8359642293973422E-3</v>
      </c>
      <c r="K145" s="11">
        <f t="shared" si="50"/>
        <v>5.6580638662050167E-2</v>
      </c>
      <c r="L145" s="22">
        <v>2002.7695090770719</v>
      </c>
      <c r="M145" s="7" t="s">
        <v>561</v>
      </c>
      <c r="N145" t="s">
        <v>561</v>
      </c>
      <c r="O145" t="s">
        <v>561</v>
      </c>
      <c r="P145" t="s">
        <v>561</v>
      </c>
      <c r="Q145" s="24" t="s">
        <v>561</v>
      </c>
      <c r="R145" s="7">
        <f t="shared" si="51"/>
        <v>1</v>
      </c>
      <c r="S145">
        <v>1067326.314082999</v>
      </c>
      <c r="T145" s="11">
        <f t="shared" si="52"/>
        <v>0</v>
      </c>
      <c r="U145" s="11">
        <f t="shared" si="53"/>
        <v>5.1495643343473979E-2</v>
      </c>
      <c r="V145" s="22">
        <v>7228.8263046741486</v>
      </c>
    </row>
    <row r="146" spans="1:22" x14ac:dyDescent="0.35">
      <c r="A146" s="14" t="s">
        <v>504</v>
      </c>
      <c r="B146" s="13" t="s">
        <v>569</v>
      </c>
      <c r="C146" s="13" t="s">
        <v>579</v>
      </c>
      <c r="D146" s="13">
        <v>800</v>
      </c>
      <c r="E146" s="13">
        <v>4400</v>
      </c>
      <c r="F146">
        <f t="shared" si="47"/>
        <v>1083603.386226</v>
      </c>
      <c r="G146" s="15">
        <v>1028083.789736376</v>
      </c>
      <c r="H146" s="7">
        <f t="shared" si="48"/>
        <v>0</v>
      </c>
      <c r="I146">
        <v>1084875.7356759999</v>
      </c>
      <c r="J146" s="11">
        <f t="shared" si="49"/>
        <v>1.1741837153455496E-3</v>
      </c>
      <c r="K146" s="11">
        <f t="shared" si="50"/>
        <v>5.5240581075776528E-2</v>
      </c>
      <c r="L146" s="22">
        <v>2480.4950859546661</v>
      </c>
      <c r="M146" s="7">
        <f t="shared" ref="M146:M168" si="54">IF(O146&lt;=0.0001,1,0)</f>
        <v>0</v>
      </c>
      <c r="N146">
        <v>2705047.383804</v>
      </c>
      <c r="O146" s="11">
        <f t="shared" ref="O146:O168" si="55">(N146-$F146)/$F146</f>
        <v>1.4963445280705556</v>
      </c>
      <c r="P146" s="11">
        <f t="shared" ref="P146:P168" si="56">(N146-$G146)/$G146</f>
        <v>1.6311545914926207</v>
      </c>
      <c r="Q146" s="22">
        <v>4804.50239610671</v>
      </c>
      <c r="R146" s="7">
        <f t="shared" si="51"/>
        <v>1</v>
      </c>
      <c r="S146">
        <v>1083603.386226</v>
      </c>
      <c r="T146" s="11">
        <f t="shared" si="52"/>
        <v>0</v>
      </c>
      <c r="U146" s="11">
        <f t="shared" si="53"/>
        <v>5.40029879314219E-2</v>
      </c>
      <c r="V146" s="22">
        <v>1486.959028244019</v>
      </c>
    </row>
    <row r="147" spans="1:22" x14ac:dyDescent="0.35">
      <c r="A147" s="14" t="s">
        <v>505</v>
      </c>
      <c r="B147" s="13" t="s">
        <v>569</v>
      </c>
      <c r="C147" s="13" t="s">
        <v>579</v>
      </c>
      <c r="D147" s="13">
        <v>800</v>
      </c>
      <c r="E147" s="13">
        <v>4400</v>
      </c>
      <c r="F147">
        <f t="shared" si="47"/>
        <v>745263.54709599935</v>
      </c>
      <c r="G147" s="15">
        <v>717064.28136939427</v>
      </c>
      <c r="H147" s="7">
        <f t="shared" si="48"/>
        <v>0</v>
      </c>
      <c r="I147">
        <v>755608.01001099939</v>
      </c>
      <c r="J147" s="11">
        <f t="shared" si="49"/>
        <v>1.3880274911215459E-2</v>
      </c>
      <c r="K147" s="11">
        <f t="shared" si="50"/>
        <v>5.3752124660284666E-2</v>
      </c>
      <c r="L147" s="22">
        <v>2183.45731306076</v>
      </c>
      <c r="M147" s="7">
        <f t="shared" si="54"/>
        <v>0</v>
      </c>
      <c r="N147">
        <v>745452.33136499953</v>
      </c>
      <c r="O147" s="11">
        <f t="shared" si="55"/>
        <v>2.5331209306531793E-4</v>
      </c>
      <c r="P147" s="11">
        <f t="shared" si="56"/>
        <v>3.9589267982212045E-2</v>
      </c>
      <c r="Q147" s="22">
        <v>5206.2337353229395</v>
      </c>
      <c r="R147" s="7">
        <f t="shared" si="51"/>
        <v>1</v>
      </c>
      <c r="S147">
        <v>745263.54709599935</v>
      </c>
      <c r="T147" s="11">
        <f t="shared" si="52"/>
        <v>0</v>
      </c>
      <c r="U147" s="11">
        <f t="shared" si="53"/>
        <v>3.932599413925944E-2</v>
      </c>
      <c r="V147" s="22">
        <v>7249.4967517852783</v>
      </c>
    </row>
    <row r="148" spans="1:22" x14ac:dyDescent="0.35">
      <c r="A148" s="14" t="s">
        <v>506</v>
      </c>
      <c r="B148" s="13" t="s">
        <v>569</v>
      </c>
      <c r="C148" s="13" t="s">
        <v>579</v>
      </c>
      <c r="D148" s="13">
        <v>800</v>
      </c>
      <c r="E148" s="13">
        <v>4400</v>
      </c>
      <c r="F148">
        <f t="shared" si="47"/>
        <v>702120.08522900008</v>
      </c>
      <c r="G148" s="15">
        <v>677237.23079760151</v>
      </c>
      <c r="H148" s="7">
        <f t="shared" si="48"/>
        <v>0</v>
      </c>
      <c r="I148">
        <v>708830.25424699974</v>
      </c>
      <c r="J148" s="11">
        <f t="shared" si="49"/>
        <v>9.5570104874739617E-3</v>
      </c>
      <c r="K148" s="11">
        <f t="shared" si="50"/>
        <v>4.6649862135001392E-2</v>
      </c>
      <c r="L148" s="22">
        <v>1520.525861024857</v>
      </c>
      <c r="M148" s="7">
        <f t="shared" si="54"/>
        <v>0</v>
      </c>
      <c r="N148">
        <v>708489.37886100006</v>
      </c>
      <c r="O148" s="11">
        <f t="shared" si="55"/>
        <v>9.0715160639829977E-3</v>
      </c>
      <c r="P148" s="11">
        <f t="shared" si="56"/>
        <v>4.6146529815840172E-2</v>
      </c>
      <c r="Q148" s="22">
        <v>7208.2639648914337</v>
      </c>
      <c r="R148" s="7">
        <f t="shared" si="51"/>
        <v>1</v>
      </c>
      <c r="S148">
        <v>702120.08522900008</v>
      </c>
      <c r="T148" s="11">
        <f t="shared" si="52"/>
        <v>0</v>
      </c>
      <c r="U148" s="11">
        <f t="shared" si="53"/>
        <v>3.6741710732727022E-2</v>
      </c>
      <c r="V148" s="22">
        <v>7268.5293245315552</v>
      </c>
    </row>
    <row r="149" spans="1:22" x14ac:dyDescent="0.35">
      <c r="A149" s="14" t="s">
        <v>507</v>
      </c>
      <c r="B149" s="13" t="s">
        <v>569</v>
      </c>
      <c r="C149" s="13" t="s">
        <v>579</v>
      </c>
      <c r="D149" s="13">
        <v>800</v>
      </c>
      <c r="E149" s="13">
        <v>4400</v>
      </c>
      <c r="F149">
        <f t="shared" si="47"/>
        <v>700438.19365299959</v>
      </c>
      <c r="G149" s="15">
        <v>678399.59108487191</v>
      </c>
      <c r="H149" s="7">
        <f t="shared" si="48"/>
        <v>0</v>
      </c>
      <c r="I149">
        <v>702356.62612899952</v>
      </c>
      <c r="J149" s="11">
        <f t="shared" si="49"/>
        <v>2.738903294228883E-3</v>
      </c>
      <c r="K149" s="11">
        <f t="shared" si="50"/>
        <v>3.5314046999669314E-2</v>
      </c>
      <c r="L149" s="22">
        <v>2082.3549659252171</v>
      </c>
      <c r="M149" s="7">
        <f t="shared" si="54"/>
        <v>0</v>
      </c>
      <c r="N149">
        <v>712026.32188199949</v>
      </c>
      <c r="O149" s="11">
        <f t="shared" si="55"/>
        <v>1.6544112434195329E-2</v>
      </c>
      <c r="P149" s="11">
        <f t="shared" si="56"/>
        <v>4.9567734472470634E-2</v>
      </c>
      <c r="Q149" s="22">
        <v>5014.1939299106507</v>
      </c>
      <c r="R149" s="7">
        <f t="shared" si="51"/>
        <v>1</v>
      </c>
      <c r="S149">
        <v>700438.19365299959</v>
      </c>
      <c r="T149" s="11">
        <f t="shared" si="52"/>
        <v>0</v>
      </c>
      <c r="U149" s="11">
        <f t="shared" si="53"/>
        <v>3.2486167234983661E-2</v>
      </c>
      <c r="V149" s="22">
        <v>7243.7038340568542</v>
      </c>
    </row>
    <row r="150" spans="1:22" x14ac:dyDescent="0.35">
      <c r="A150" s="14" t="s">
        <v>508</v>
      </c>
      <c r="B150" s="13" t="s">
        <v>569</v>
      </c>
      <c r="C150" s="13" t="s">
        <v>579</v>
      </c>
      <c r="D150" s="13">
        <v>800</v>
      </c>
      <c r="E150" s="13">
        <v>4400</v>
      </c>
      <c r="F150">
        <f t="shared" si="47"/>
        <v>718487.51924599987</v>
      </c>
      <c r="G150" s="15">
        <v>694394.11772119848</v>
      </c>
      <c r="H150" s="7">
        <f t="shared" si="48"/>
        <v>0</v>
      </c>
      <c r="I150">
        <v>724791.30409000011</v>
      </c>
      <c r="J150" s="11">
        <f t="shared" si="49"/>
        <v>8.7736873294829154E-3</v>
      </c>
      <c r="K150" s="11">
        <f t="shared" si="50"/>
        <v>4.3775120775153518E-2</v>
      </c>
      <c r="L150" s="22">
        <v>3936.6179280281071</v>
      </c>
      <c r="M150" s="7">
        <f t="shared" si="54"/>
        <v>0</v>
      </c>
      <c r="N150">
        <v>723236.41478799994</v>
      </c>
      <c r="O150" s="11">
        <f t="shared" si="55"/>
        <v>6.6095727688960972E-3</v>
      </c>
      <c r="P150" s="11">
        <f t="shared" si="56"/>
        <v>4.153591790416309E-2</v>
      </c>
      <c r="Q150" s="22">
        <v>7210.9310908317566</v>
      </c>
      <c r="R150" s="7">
        <f t="shared" si="51"/>
        <v>1</v>
      </c>
      <c r="S150">
        <v>718487.51924599987</v>
      </c>
      <c r="T150" s="11">
        <f t="shared" si="52"/>
        <v>0</v>
      </c>
      <c r="U150" s="11">
        <f t="shared" si="53"/>
        <v>3.469701270493044E-2</v>
      </c>
      <c r="V150" s="22">
        <v>7229.76691365242</v>
      </c>
    </row>
    <row r="151" spans="1:22" x14ac:dyDescent="0.35">
      <c r="A151" s="14" t="s">
        <v>510</v>
      </c>
      <c r="B151" s="13" t="s">
        <v>569</v>
      </c>
      <c r="C151" s="13" t="s">
        <v>579</v>
      </c>
      <c r="D151" s="13">
        <v>800</v>
      </c>
      <c r="E151" s="13">
        <v>4400</v>
      </c>
      <c r="F151">
        <f t="shared" si="47"/>
        <v>686697.22520799981</v>
      </c>
      <c r="G151" s="15">
        <v>666450.9073411515</v>
      </c>
      <c r="H151" s="7">
        <f t="shared" si="48"/>
        <v>1</v>
      </c>
      <c r="I151">
        <v>686697.22520799981</v>
      </c>
      <c r="J151" s="11">
        <f t="shared" si="49"/>
        <v>0</v>
      </c>
      <c r="K151" s="11">
        <f t="shared" si="50"/>
        <v>3.0379308729013958E-2</v>
      </c>
      <c r="L151" s="22">
        <v>2766.407881975174</v>
      </c>
      <c r="M151" s="7">
        <f t="shared" si="54"/>
        <v>0</v>
      </c>
      <c r="N151">
        <v>692473.98297499958</v>
      </c>
      <c r="O151" s="11">
        <f t="shared" si="55"/>
        <v>8.4123796557500231E-3</v>
      </c>
      <c r="P151" s="11">
        <f t="shared" si="56"/>
        <v>3.9047250663471686E-2</v>
      </c>
      <c r="Q151" s="22">
        <v>7208.3992352485657</v>
      </c>
      <c r="R151" s="7">
        <f t="shared" si="51"/>
        <v>0</v>
      </c>
      <c r="S151">
        <v>687674.98114599939</v>
      </c>
      <c r="T151" s="11">
        <f t="shared" si="52"/>
        <v>1.4238530492145485E-3</v>
      </c>
      <c r="U151" s="11">
        <f t="shared" si="53"/>
        <v>3.1846417449595342E-2</v>
      </c>
      <c r="V151" s="22">
        <v>7244.5711848735809</v>
      </c>
    </row>
    <row r="152" spans="1:22" x14ac:dyDescent="0.35">
      <c r="A152" s="14" t="s">
        <v>511</v>
      </c>
      <c r="B152" s="13" t="s">
        <v>569</v>
      </c>
      <c r="C152" s="13" t="s">
        <v>579</v>
      </c>
      <c r="D152" s="13">
        <v>800</v>
      </c>
      <c r="E152" s="13">
        <v>4400</v>
      </c>
      <c r="F152">
        <f t="shared" si="47"/>
        <v>548904.58068799961</v>
      </c>
      <c r="G152" s="15">
        <v>537711.82216496626</v>
      </c>
      <c r="H152" s="7">
        <f t="shared" si="48"/>
        <v>0</v>
      </c>
      <c r="I152">
        <v>565349.35780499945</v>
      </c>
      <c r="J152" s="11">
        <f t="shared" si="49"/>
        <v>2.9959263769283696E-2</v>
      </c>
      <c r="K152" s="11">
        <f t="shared" si="50"/>
        <v>5.1398415472357219E-2</v>
      </c>
      <c r="L152" s="22">
        <v>1902.35662984848</v>
      </c>
      <c r="M152" s="7">
        <f t="shared" si="54"/>
        <v>1</v>
      </c>
      <c r="N152">
        <v>548904.58068799961</v>
      </c>
      <c r="O152" s="11">
        <f t="shared" si="55"/>
        <v>0</v>
      </c>
      <c r="P152" s="11">
        <f t="shared" si="56"/>
        <v>2.0815533640246967E-2</v>
      </c>
      <c r="Q152" s="22">
        <v>7215.1909568309784</v>
      </c>
      <c r="R152" s="7">
        <f t="shared" si="51"/>
        <v>0</v>
      </c>
      <c r="S152">
        <v>557459.48843699973</v>
      </c>
      <c r="T152" s="11">
        <f t="shared" si="52"/>
        <v>1.5585418759445148E-2</v>
      </c>
      <c r="U152" s="11">
        <f t="shared" si="53"/>
        <v>3.6725371208176684E-2</v>
      </c>
      <c r="V152" s="22">
        <v>7231.6383678913116</v>
      </c>
    </row>
    <row r="153" spans="1:22" x14ac:dyDescent="0.35">
      <c r="A153" s="14" t="s">
        <v>512</v>
      </c>
      <c r="B153" s="13" t="s">
        <v>569</v>
      </c>
      <c r="C153" s="13" t="s">
        <v>579</v>
      </c>
      <c r="D153" s="13">
        <v>800</v>
      </c>
      <c r="E153" s="13">
        <v>4400</v>
      </c>
      <c r="F153">
        <f t="shared" si="47"/>
        <v>543391.3315739996</v>
      </c>
      <c r="G153" s="15">
        <v>531428.16280016035</v>
      </c>
      <c r="H153" s="7">
        <f t="shared" si="48"/>
        <v>0</v>
      </c>
      <c r="I153">
        <v>554366.16871499992</v>
      </c>
      <c r="J153" s="11">
        <f t="shared" si="49"/>
        <v>2.0196930836585771E-2</v>
      </c>
      <c r="K153" s="11">
        <f t="shared" si="50"/>
        <v>4.3162947544925716E-2</v>
      </c>
      <c r="L153" s="22">
        <v>1201.1899139881129</v>
      </c>
      <c r="M153" s="7">
        <f t="shared" si="54"/>
        <v>1</v>
      </c>
      <c r="N153">
        <v>543391.3315739996</v>
      </c>
      <c r="O153" s="11">
        <f t="shared" si="55"/>
        <v>0</v>
      </c>
      <c r="P153" s="11">
        <f t="shared" si="56"/>
        <v>2.2511356400089604E-2</v>
      </c>
      <c r="Q153" s="22">
        <v>7216.0455636978149</v>
      </c>
      <c r="R153" s="7">
        <f t="shared" si="51"/>
        <v>0</v>
      </c>
      <c r="S153">
        <v>543694.36596899969</v>
      </c>
      <c r="T153" s="11">
        <f t="shared" si="52"/>
        <v>5.5767248646073568E-4</v>
      </c>
      <c r="U153" s="11">
        <f t="shared" si="53"/>
        <v>2.3081582850647583E-2</v>
      </c>
      <c r="V153" s="22">
        <v>7220.5725619792938</v>
      </c>
    </row>
    <row r="154" spans="1:22" x14ac:dyDescent="0.35">
      <c r="A154" s="14" t="s">
        <v>513</v>
      </c>
      <c r="B154" s="13" t="s">
        <v>569</v>
      </c>
      <c r="C154" s="13" t="s">
        <v>579</v>
      </c>
      <c r="D154" s="13">
        <v>800</v>
      </c>
      <c r="E154" s="13">
        <v>4400</v>
      </c>
      <c r="F154">
        <f t="shared" si="47"/>
        <v>548670.44639999978</v>
      </c>
      <c r="G154" s="15">
        <v>534836.09276906878</v>
      </c>
      <c r="H154" s="7">
        <f t="shared" si="48"/>
        <v>0</v>
      </c>
      <c r="I154">
        <v>554684.50846399995</v>
      </c>
      <c r="J154" s="11">
        <f t="shared" si="49"/>
        <v>1.0961155468570131E-2</v>
      </c>
      <c r="K154" s="11">
        <f t="shared" si="50"/>
        <v>3.7111212132613702E-2</v>
      </c>
      <c r="L154" s="22">
        <v>1679.0358309745791</v>
      </c>
      <c r="M154" s="7">
        <f t="shared" si="54"/>
        <v>0</v>
      </c>
      <c r="N154">
        <v>550523.05093000014</v>
      </c>
      <c r="O154" s="11">
        <f t="shared" si="55"/>
        <v>3.3765342058350045E-3</v>
      </c>
      <c r="P154" s="11">
        <f t="shared" si="56"/>
        <v>2.9330403039393729E-2</v>
      </c>
      <c r="Q154" s="22">
        <v>7256.6651773452759</v>
      </c>
      <c r="R154" s="7">
        <f t="shared" si="51"/>
        <v>1</v>
      </c>
      <c r="S154">
        <v>548670.44639999978</v>
      </c>
      <c r="T154" s="11">
        <f t="shared" si="52"/>
        <v>0</v>
      </c>
      <c r="U154" s="11">
        <f t="shared" si="53"/>
        <v>2.5866529611539117E-2</v>
      </c>
      <c r="V154" s="22">
        <v>7234.4238255023956</v>
      </c>
    </row>
    <row r="155" spans="1:22" x14ac:dyDescent="0.35">
      <c r="A155" s="14" t="s">
        <v>514</v>
      </c>
      <c r="B155" s="13" t="s">
        <v>569</v>
      </c>
      <c r="C155" s="13" t="s">
        <v>579</v>
      </c>
      <c r="D155" s="13">
        <v>800</v>
      </c>
      <c r="E155" s="13">
        <v>4400</v>
      </c>
      <c r="F155">
        <f t="shared" si="47"/>
        <v>545164.99396999972</v>
      </c>
      <c r="G155" s="15">
        <v>531240.58387724741</v>
      </c>
      <c r="H155" s="7">
        <f t="shared" si="48"/>
        <v>0</v>
      </c>
      <c r="I155">
        <v>552683.66221299989</v>
      </c>
      <c r="J155" s="11">
        <f t="shared" si="49"/>
        <v>1.3791546277114626E-2</v>
      </c>
      <c r="K155" s="11">
        <f t="shared" si="50"/>
        <v>4.0364157006324057E-2</v>
      </c>
      <c r="L155" s="22">
        <v>1084.2479410171511</v>
      </c>
      <c r="M155" s="7">
        <f t="shared" si="54"/>
        <v>1</v>
      </c>
      <c r="N155">
        <v>545164.99396999972</v>
      </c>
      <c r="O155" s="11">
        <f t="shared" si="55"/>
        <v>0</v>
      </c>
      <c r="P155" s="11">
        <f t="shared" si="56"/>
        <v>2.6211118870334262E-2</v>
      </c>
      <c r="Q155" s="22">
        <v>7222.0144214630127</v>
      </c>
      <c r="R155" s="7">
        <f t="shared" si="51"/>
        <v>0</v>
      </c>
      <c r="S155">
        <v>545627.84461299982</v>
      </c>
      <c r="T155" s="11">
        <f t="shared" si="52"/>
        <v>8.4901020446953048E-4</v>
      </c>
      <c r="U155" s="11">
        <f t="shared" si="53"/>
        <v>2.708238258219527E-2</v>
      </c>
      <c r="V155" s="22">
        <v>7248.5197985172272</v>
      </c>
    </row>
    <row r="156" spans="1:22" x14ac:dyDescent="0.35">
      <c r="A156" s="14" t="s">
        <v>515</v>
      </c>
      <c r="B156" s="13" t="s">
        <v>569</v>
      </c>
      <c r="C156" s="13" t="s">
        <v>579</v>
      </c>
      <c r="D156" s="13">
        <v>800</v>
      </c>
      <c r="E156" s="13">
        <v>4400</v>
      </c>
      <c r="F156">
        <f t="shared" si="47"/>
        <v>552023.01396799984</v>
      </c>
      <c r="G156" s="15">
        <v>540675.09313764214</v>
      </c>
      <c r="H156" s="7">
        <f t="shared" si="48"/>
        <v>0</v>
      </c>
      <c r="I156">
        <v>570334.23474599968</v>
      </c>
      <c r="J156" s="11">
        <f t="shared" si="49"/>
        <v>3.3171118440111488E-2</v>
      </c>
      <c r="K156" s="11">
        <f t="shared" si="50"/>
        <v>5.4855757153968038E-2</v>
      </c>
      <c r="L156" s="22">
        <v>2067.677751064301</v>
      </c>
      <c r="M156" s="7">
        <f t="shared" si="54"/>
        <v>0</v>
      </c>
      <c r="N156">
        <v>558120.84212999977</v>
      </c>
      <c r="O156" s="11">
        <f t="shared" si="55"/>
        <v>1.1046329605296884E-2</v>
      </c>
      <c r="P156" s="11">
        <f t="shared" si="56"/>
        <v>3.2266603758491226E-2</v>
      </c>
      <c r="Q156" s="22">
        <v>7249.8860614299774</v>
      </c>
      <c r="R156" s="7">
        <f t="shared" si="51"/>
        <v>1</v>
      </c>
      <c r="S156">
        <v>552023.01396799984</v>
      </c>
      <c r="T156" s="11">
        <f t="shared" si="52"/>
        <v>0</v>
      </c>
      <c r="U156" s="11">
        <f t="shared" si="53"/>
        <v>2.0988429048032387E-2</v>
      </c>
      <c r="V156" s="22">
        <v>7263.1612074375153</v>
      </c>
    </row>
    <row r="157" spans="1:22" x14ac:dyDescent="0.35">
      <c r="A157" s="14" t="s">
        <v>516</v>
      </c>
      <c r="B157" s="13" t="s">
        <v>569</v>
      </c>
      <c r="C157" s="13" t="s">
        <v>579</v>
      </c>
      <c r="D157" s="13">
        <v>800</v>
      </c>
      <c r="E157" s="13">
        <v>4400</v>
      </c>
      <c r="F157">
        <f t="shared" si="47"/>
        <v>346222.12879399961</v>
      </c>
      <c r="G157" s="15">
        <v>344761.94198525662</v>
      </c>
      <c r="H157" s="7">
        <f t="shared" si="48"/>
        <v>0</v>
      </c>
      <c r="I157">
        <v>348418.12669299991</v>
      </c>
      <c r="J157" s="11">
        <f t="shared" si="49"/>
        <v>6.3427427549176312E-3</v>
      </c>
      <c r="K157" s="11">
        <f t="shared" si="50"/>
        <v>1.0604954499008024E-2</v>
      </c>
      <c r="L157" s="22">
        <v>1358.9857409000399</v>
      </c>
      <c r="M157" s="7">
        <f t="shared" si="54"/>
        <v>0</v>
      </c>
      <c r="N157">
        <v>346258.47438799992</v>
      </c>
      <c r="O157" s="11">
        <f t="shared" si="55"/>
        <v>1.049776746706146E-4</v>
      </c>
      <c r="P157" s="11">
        <f t="shared" si="56"/>
        <v>4.340770312772203E-3</v>
      </c>
      <c r="Q157" s="22">
        <v>7252.2517023086548</v>
      </c>
      <c r="R157" s="7">
        <f t="shared" si="51"/>
        <v>1</v>
      </c>
      <c r="S157">
        <v>346222.12879399961</v>
      </c>
      <c r="T157" s="11">
        <f t="shared" si="52"/>
        <v>0</v>
      </c>
      <c r="U157" s="11">
        <f t="shared" si="53"/>
        <v>4.2353480211149109E-3</v>
      </c>
      <c r="V157" s="22">
        <v>7226.8650555610657</v>
      </c>
    </row>
    <row r="158" spans="1:22" x14ac:dyDescent="0.35">
      <c r="A158" s="14" t="s">
        <v>517</v>
      </c>
      <c r="B158" s="13" t="s">
        <v>569</v>
      </c>
      <c r="C158" s="13" t="s">
        <v>579</v>
      </c>
      <c r="D158" s="13">
        <v>800</v>
      </c>
      <c r="E158" s="13">
        <v>4400</v>
      </c>
      <c r="F158">
        <f t="shared" si="47"/>
        <v>337492.62812600011</v>
      </c>
      <c r="G158" s="15">
        <v>335899.52310964058</v>
      </c>
      <c r="H158" s="7">
        <f t="shared" si="48"/>
        <v>0</v>
      </c>
      <c r="I158">
        <v>340769.62229099998</v>
      </c>
      <c r="J158" s="11">
        <f t="shared" si="49"/>
        <v>9.709824428450706E-3</v>
      </c>
      <c r="K158" s="11">
        <f t="shared" si="50"/>
        <v>1.4498678462754939E-2</v>
      </c>
      <c r="L158" s="22">
        <v>1070.3528981208799</v>
      </c>
      <c r="M158" s="7">
        <f t="shared" si="54"/>
        <v>1</v>
      </c>
      <c r="N158">
        <v>337492.62812600011</v>
      </c>
      <c r="O158" s="11">
        <f t="shared" si="55"/>
        <v>0</v>
      </c>
      <c r="P158" s="11">
        <f t="shared" si="56"/>
        <v>4.7428022570890401E-3</v>
      </c>
      <c r="Q158" s="22">
        <v>3292.2210621833701</v>
      </c>
      <c r="R158" s="7">
        <f t="shared" si="51"/>
        <v>0</v>
      </c>
      <c r="S158">
        <v>338397.48871599999</v>
      </c>
      <c r="T158" s="11">
        <f t="shared" si="52"/>
        <v>2.681126977570775E-3</v>
      </c>
      <c r="U158" s="11">
        <f t="shared" si="53"/>
        <v>7.43664528974058E-3</v>
      </c>
      <c r="V158" s="22">
        <v>1600.6958417892461</v>
      </c>
    </row>
    <row r="159" spans="1:22" x14ac:dyDescent="0.35">
      <c r="A159" s="14" t="s">
        <v>518</v>
      </c>
      <c r="B159" s="13" t="s">
        <v>569</v>
      </c>
      <c r="C159" s="13" t="s">
        <v>579</v>
      </c>
      <c r="D159" s="13">
        <v>800</v>
      </c>
      <c r="E159" s="13">
        <v>4400</v>
      </c>
      <c r="F159">
        <f t="shared" si="47"/>
        <v>329584.39783099957</v>
      </c>
      <c r="G159" s="15">
        <v>327984.88358089689</v>
      </c>
      <c r="H159" s="7">
        <f t="shared" si="48"/>
        <v>0</v>
      </c>
      <c r="I159">
        <v>335796.73024799977</v>
      </c>
      <c r="J159" s="11">
        <f t="shared" si="49"/>
        <v>1.8848988173844589E-2</v>
      </c>
      <c r="K159" s="11">
        <f t="shared" si="50"/>
        <v>2.3817703370393621E-2</v>
      </c>
      <c r="L159" s="22">
        <v>1451.616590023041</v>
      </c>
      <c r="M159" s="7">
        <f t="shared" si="54"/>
        <v>1</v>
      </c>
      <c r="N159">
        <v>329584.39783099957</v>
      </c>
      <c r="O159" s="11">
        <f t="shared" si="55"/>
        <v>0</v>
      </c>
      <c r="P159" s="11">
        <f t="shared" si="56"/>
        <v>4.8767925906809924E-3</v>
      </c>
      <c r="Q159" s="22">
        <v>3230.6155304908702</v>
      </c>
      <c r="R159" s="7">
        <f t="shared" si="51"/>
        <v>0</v>
      </c>
      <c r="S159">
        <v>329644.28860899992</v>
      </c>
      <c r="T159" s="11">
        <f t="shared" si="52"/>
        <v>1.8171605935988572E-4</v>
      </c>
      <c r="U159" s="11">
        <f t="shared" si="53"/>
        <v>5.0593948415727716E-3</v>
      </c>
      <c r="V159" s="22">
        <v>7245.6038081645966</v>
      </c>
    </row>
    <row r="160" spans="1:22" x14ac:dyDescent="0.35">
      <c r="A160" s="14" t="s">
        <v>519</v>
      </c>
      <c r="B160" s="13" t="s">
        <v>569</v>
      </c>
      <c r="C160" s="13" t="s">
        <v>579</v>
      </c>
      <c r="D160" s="13">
        <v>800</v>
      </c>
      <c r="E160" s="13">
        <v>4400</v>
      </c>
      <c r="F160">
        <f t="shared" si="47"/>
        <v>333717.032458</v>
      </c>
      <c r="G160" s="15">
        <v>332184.66682471521</v>
      </c>
      <c r="H160" s="7">
        <f t="shared" si="48"/>
        <v>0</v>
      </c>
      <c r="I160">
        <v>336163.6495559999</v>
      </c>
      <c r="J160" s="11">
        <f t="shared" si="49"/>
        <v>7.3314121247551843E-3</v>
      </c>
      <c r="K160" s="11">
        <f t="shared" si="50"/>
        <v>1.1978225152048607E-2</v>
      </c>
      <c r="L160" s="22">
        <v>1591.7043700218201</v>
      </c>
      <c r="M160" s="7">
        <f t="shared" si="54"/>
        <v>1</v>
      </c>
      <c r="N160">
        <v>333717.032458</v>
      </c>
      <c r="O160" s="11">
        <f t="shared" si="55"/>
        <v>0</v>
      </c>
      <c r="P160" s="11">
        <f t="shared" si="56"/>
        <v>4.6129932724841179E-3</v>
      </c>
      <c r="Q160" s="22">
        <v>3250.6738436221899</v>
      </c>
      <c r="R160" s="7">
        <f t="shared" si="51"/>
        <v>1</v>
      </c>
      <c r="S160">
        <v>333722.28360399988</v>
      </c>
      <c r="T160" s="11">
        <f t="shared" si="52"/>
        <v>1.573532510822482E-5</v>
      </c>
      <c r="U160" s="11">
        <f t="shared" si="53"/>
        <v>4.6288011845412079E-3</v>
      </c>
      <c r="V160" s="22">
        <v>7250.3088076114655</v>
      </c>
    </row>
    <row r="161" spans="1:22" x14ac:dyDescent="0.35">
      <c r="A161" s="14" t="s">
        <v>521</v>
      </c>
      <c r="B161" s="13" t="s">
        <v>569</v>
      </c>
      <c r="C161" s="13" t="s">
        <v>579</v>
      </c>
      <c r="D161" s="13">
        <v>800</v>
      </c>
      <c r="E161" s="13">
        <v>4400</v>
      </c>
      <c r="F161">
        <f t="shared" si="47"/>
        <v>341553.72575699998</v>
      </c>
      <c r="G161" s="15">
        <v>339449.77569192089</v>
      </c>
      <c r="H161" s="7">
        <f t="shared" si="48"/>
        <v>0</v>
      </c>
      <c r="I161">
        <v>343451.66844400001</v>
      </c>
      <c r="J161" s="11">
        <f t="shared" si="49"/>
        <v>5.5567910518134183E-3</v>
      </c>
      <c r="K161" s="11">
        <f t="shared" si="50"/>
        <v>1.1789351587939098E-2</v>
      </c>
      <c r="L161" s="22">
        <v>983.58705496788025</v>
      </c>
      <c r="M161" s="7">
        <f t="shared" si="54"/>
        <v>0</v>
      </c>
      <c r="N161">
        <v>341623.42701100052</v>
      </c>
      <c r="O161" s="11">
        <f t="shared" si="55"/>
        <v>2.0407112774441618E-4</v>
      </c>
      <c r="P161" s="11">
        <f t="shared" si="56"/>
        <v>6.4034548694249117E-3</v>
      </c>
      <c r="Q161" s="22">
        <v>3359.2978165149598</v>
      </c>
      <c r="R161" s="7">
        <f t="shared" si="51"/>
        <v>1</v>
      </c>
      <c r="S161">
        <v>341553.72575699998</v>
      </c>
      <c r="T161" s="11">
        <f t="shared" si="52"/>
        <v>0</v>
      </c>
      <c r="U161" s="11">
        <f t="shared" si="53"/>
        <v>6.1981188845698278E-3</v>
      </c>
      <c r="V161" s="22">
        <v>3498.5609607696529</v>
      </c>
    </row>
    <row r="162" spans="1:22" x14ac:dyDescent="0.35">
      <c r="A162" s="14" t="s">
        <v>522</v>
      </c>
      <c r="B162" s="13" t="s">
        <v>569</v>
      </c>
      <c r="C162" s="13" t="s">
        <v>579</v>
      </c>
      <c r="D162" s="13">
        <v>800</v>
      </c>
      <c r="E162" s="13">
        <v>4400</v>
      </c>
      <c r="F162">
        <f t="shared" si="47"/>
        <v>313959.73945599969</v>
      </c>
      <c r="G162" s="15">
        <v>313571.05922037258</v>
      </c>
      <c r="H162" s="7">
        <f t="shared" si="48"/>
        <v>0</v>
      </c>
      <c r="I162">
        <v>314225.54000899987</v>
      </c>
      <c r="J162" s="11">
        <f t="shared" si="49"/>
        <v>8.4660712695435846E-4</v>
      </c>
      <c r="K162" s="11">
        <f t="shared" si="50"/>
        <v>2.0871849278900827E-3</v>
      </c>
      <c r="L162" s="22">
        <v>1730.355236053467</v>
      </c>
      <c r="M162" s="7">
        <f t="shared" si="54"/>
        <v>1</v>
      </c>
      <c r="N162">
        <v>313959.7394580004</v>
      </c>
      <c r="O162" s="11">
        <f t="shared" si="55"/>
        <v>6.3725168213744627E-12</v>
      </c>
      <c r="P162" s="11">
        <f t="shared" si="56"/>
        <v>1.2395284137324133E-3</v>
      </c>
      <c r="Q162" s="22">
        <v>7240.4622905254364</v>
      </c>
      <c r="R162" s="7">
        <f t="shared" si="51"/>
        <v>1</v>
      </c>
      <c r="S162">
        <v>313959.73945599969</v>
      </c>
      <c r="T162" s="11">
        <f t="shared" ref="T162:T166" si="57">(S162-$F162)/$F162</f>
        <v>0</v>
      </c>
      <c r="U162" s="11">
        <f t="shared" si="53"/>
        <v>1.2395284073519976E-3</v>
      </c>
      <c r="V162" s="22">
        <v>7242.9935626983643</v>
      </c>
    </row>
    <row r="163" spans="1:22" x14ac:dyDescent="0.35">
      <c r="A163" s="14" t="s">
        <v>523</v>
      </c>
      <c r="B163" s="13" t="s">
        <v>569</v>
      </c>
      <c r="C163" s="13" t="s">
        <v>579</v>
      </c>
      <c r="D163" s="13">
        <v>800</v>
      </c>
      <c r="E163" s="13">
        <v>4400</v>
      </c>
      <c r="F163">
        <f t="shared" si="47"/>
        <v>319354.43685700023</v>
      </c>
      <c r="G163" s="15">
        <v>318562.06486995978</v>
      </c>
      <c r="H163" s="7">
        <f t="shared" si="48"/>
        <v>0</v>
      </c>
      <c r="I163">
        <v>320665.84126900003</v>
      </c>
      <c r="J163" s="11">
        <f t="shared" si="49"/>
        <v>4.1064230229781251E-3</v>
      </c>
      <c r="K163" s="11">
        <f t="shared" si="50"/>
        <v>6.6039765277734119E-3</v>
      </c>
      <c r="L163" s="22">
        <v>1031.357143163681</v>
      </c>
      <c r="M163" s="7">
        <f t="shared" si="54"/>
        <v>1</v>
      </c>
      <c r="N163">
        <v>319366.23904100031</v>
      </c>
      <c r="O163" s="11">
        <f t="shared" si="55"/>
        <v>3.6956380240842532E-5</v>
      </c>
      <c r="P163" s="11">
        <f t="shared" si="56"/>
        <v>2.524387740168639E-3</v>
      </c>
      <c r="Q163" s="22">
        <v>7236.5152344703674</v>
      </c>
      <c r="R163" s="7">
        <f t="shared" si="51"/>
        <v>1</v>
      </c>
      <c r="S163">
        <v>319354.43685700023</v>
      </c>
      <c r="T163" s="11">
        <f t="shared" si="57"/>
        <v>0</v>
      </c>
      <c r="U163" s="11">
        <f t="shared" si="53"/>
        <v>2.4873394368657795E-3</v>
      </c>
      <c r="V163" s="22">
        <v>7250.049590587616</v>
      </c>
    </row>
    <row r="164" spans="1:22" x14ac:dyDescent="0.35">
      <c r="A164" s="14" t="s">
        <v>524</v>
      </c>
      <c r="B164" s="13" t="s">
        <v>569</v>
      </c>
      <c r="C164" s="13" t="s">
        <v>579</v>
      </c>
      <c r="D164" s="13">
        <v>800</v>
      </c>
      <c r="E164" s="13">
        <v>4400</v>
      </c>
      <c r="F164">
        <f t="shared" si="47"/>
        <v>321066.68033799977</v>
      </c>
      <c r="G164" s="15">
        <v>319680.92456499173</v>
      </c>
      <c r="H164" s="7">
        <f t="shared" si="48"/>
        <v>0</v>
      </c>
      <c r="I164">
        <v>322601.08633299993</v>
      </c>
      <c r="J164" s="11">
        <f t="shared" si="49"/>
        <v>4.7790882360786331E-3</v>
      </c>
      <c r="K164" s="11">
        <f t="shared" si="50"/>
        <v>9.1346137464468069E-3</v>
      </c>
      <c r="L164" s="22">
        <v>998.66811609268188</v>
      </c>
      <c r="M164" s="7">
        <f t="shared" si="54"/>
        <v>1</v>
      </c>
      <c r="N164">
        <v>321066.68033799977</v>
      </c>
      <c r="O164" s="11">
        <f t="shared" si="55"/>
        <v>0</v>
      </c>
      <c r="P164" s="11">
        <f t="shared" si="56"/>
        <v>4.3348090753107093E-3</v>
      </c>
      <c r="Q164" s="22">
        <v>7271.9088215827942</v>
      </c>
      <c r="R164" s="7">
        <f t="shared" si="51"/>
        <v>0</v>
      </c>
      <c r="S164">
        <v>321102.86181199981</v>
      </c>
      <c r="T164" s="11">
        <f t="shared" si="57"/>
        <v>1.1269146322487035E-4</v>
      </c>
      <c r="U164" s="11">
        <f t="shared" si="53"/>
        <v>4.4479890345130767E-3</v>
      </c>
      <c r="V164" s="22">
        <v>3489.211941242218</v>
      </c>
    </row>
    <row r="165" spans="1:22" x14ac:dyDescent="0.35">
      <c r="A165" s="14" t="s">
        <v>525</v>
      </c>
      <c r="B165" s="13" t="s">
        <v>569</v>
      </c>
      <c r="C165" s="13" t="s">
        <v>579</v>
      </c>
      <c r="D165" s="13">
        <v>800</v>
      </c>
      <c r="E165" s="13">
        <v>4400</v>
      </c>
      <c r="F165">
        <f t="shared" si="47"/>
        <v>321908.57448399998</v>
      </c>
      <c r="G165" s="15">
        <v>319683.33669718931</v>
      </c>
      <c r="H165" s="7">
        <f t="shared" si="48"/>
        <v>0</v>
      </c>
      <c r="I165">
        <v>325158.44204499992</v>
      </c>
      <c r="J165" s="11">
        <f t="shared" si="49"/>
        <v>1.0095622852573203E-2</v>
      </c>
      <c r="K165" s="11">
        <f t="shared" si="50"/>
        <v>1.7126652281525507E-2</v>
      </c>
      <c r="L165" s="22">
        <v>1718.540311098099</v>
      </c>
      <c r="M165" s="7">
        <f t="shared" si="54"/>
        <v>1</v>
      </c>
      <c r="N165">
        <v>321916.43379400013</v>
      </c>
      <c r="O165" s="11">
        <f t="shared" si="55"/>
        <v>2.4414727109221435E-5</v>
      </c>
      <c r="P165" s="11">
        <f t="shared" si="56"/>
        <v>6.9853409310665819E-3</v>
      </c>
      <c r="Q165" s="22">
        <v>3210.4813668727702</v>
      </c>
      <c r="R165" s="7">
        <f t="shared" si="51"/>
        <v>1</v>
      </c>
      <c r="S165">
        <v>321908.57448399998</v>
      </c>
      <c r="T165" s="11">
        <f t="shared" si="57"/>
        <v>0</v>
      </c>
      <c r="U165" s="11">
        <f t="shared" si="53"/>
        <v>6.9607562589928231E-3</v>
      </c>
      <c r="V165" s="22">
        <v>1660.4996123313899</v>
      </c>
    </row>
    <row r="166" spans="1:22" x14ac:dyDescent="0.35">
      <c r="A166" s="14" t="s">
        <v>526</v>
      </c>
      <c r="B166" s="13" t="s">
        <v>569</v>
      </c>
      <c r="C166" s="13" t="s">
        <v>579</v>
      </c>
      <c r="D166" s="13">
        <v>800</v>
      </c>
      <c r="E166" s="13">
        <v>4400</v>
      </c>
      <c r="F166">
        <f t="shared" si="47"/>
        <v>313280.61444399972</v>
      </c>
      <c r="G166" s="15">
        <v>312777.4478061464</v>
      </c>
      <c r="H166" s="7">
        <f t="shared" si="48"/>
        <v>0</v>
      </c>
      <c r="I166">
        <v>313476.26325800002</v>
      </c>
      <c r="J166" s="11">
        <f t="shared" si="49"/>
        <v>6.245161844678353E-4</v>
      </c>
      <c r="K166" s="11">
        <f t="shared" si="50"/>
        <v>2.2342258265587302E-3</v>
      </c>
      <c r="L166" s="22">
        <v>1774.4463927745819</v>
      </c>
      <c r="M166" s="7">
        <f t="shared" si="54"/>
        <v>1</v>
      </c>
      <c r="N166">
        <v>313280.61444399989</v>
      </c>
      <c r="O166" s="11">
        <f t="shared" si="55"/>
        <v>5.5740117546155042E-16</v>
      </c>
      <c r="P166" s="11">
        <f t="shared" si="56"/>
        <v>1.6087049797955373E-3</v>
      </c>
      <c r="Q166" s="22">
        <v>7230.9641950130463</v>
      </c>
      <c r="R166" s="7">
        <f t="shared" si="51"/>
        <v>1</v>
      </c>
      <c r="S166">
        <v>313280.61444399972</v>
      </c>
      <c r="T166" s="11">
        <f t="shared" si="57"/>
        <v>0</v>
      </c>
      <c r="U166" s="11">
        <f t="shared" si="53"/>
        <v>1.608704979794979E-3</v>
      </c>
      <c r="V166" s="22">
        <v>3531.9726502895351</v>
      </c>
    </row>
    <row r="167" spans="1:22" x14ac:dyDescent="0.35">
      <c r="A167" s="14" t="s">
        <v>157</v>
      </c>
      <c r="B167" s="13" t="s">
        <v>566</v>
      </c>
      <c r="C167" s="13" t="s">
        <v>579</v>
      </c>
      <c r="D167" s="13">
        <v>1000</v>
      </c>
      <c r="E167" s="13">
        <v>1000</v>
      </c>
      <c r="F167">
        <f t="shared" si="47"/>
        <v>1148404.9761099999</v>
      </c>
      <c r="G167" s="15">
        <v>1137384.5044390149</v>
      </c>
      <c r="H167" s="7">
        <f t="shared" si="48"/>
        <v>0</v>
      </c>
      <c r="I167">
        <v>1152695.910255</v>
      </c>
      <c r="J167" s="11">
        <f t="shared" si="49"/>
        <v>3.7364294253885728E-3</v>
      </c>
      <c r="K167" s="11">
        <f t="shared" si="50"/>
        <v>1.3461943394012566E-2</v>
      </c>
      <c r="L167" s="22">
        <v>7200.5</v>
      </c>
      <c r="M167" s="7">
        <f t="shared" si="54"/>
        <v>1</v>
      </c>
      <c r="N167">
        <v>1148404.9761099999</v>
      </c>
      <c r="O167" s="11">
        <f t="shared" si="55"/>
        <v>0</v>
      </c>
      <c r="P167" s="11">
        <f t="shared" si="56"/>
        <v>9.6893105435971686E-3</v>
      </c>
      <c r="Q167" s="22">
        <v>7405.8590729236603</v>
      </c>
      <c r="R167" s="7" t="s">
        <v>561</v>
      </c>
      <c r="S167" t="s">
        <v>561</v>
      </c>
      <c r="T167" t="s">
        <v>561</v>
      </c>
      <c r="U167" t="s">
        <v>561</v>
      </c>
      <c r="V167" s="24" t="s">
        <v>561</v>
      </c>
    </row>
    <row r="168" spans="1:22" x14ac:dyDescent="0.35">
      <c r="A168" s="14" t="s">
        <v>158</v>
      </c>
      <c r="B168" s="13" t="s">
        <v>566</v>
      </c>
      <c r="C168" s="13" t="s">
        <v>579</v>
      </c>
      <c r="D168" s="13">
        <v>1000</v>
      </c>
      <c r="E168" s="13">
        <v>1000</v>
      </c>
      <c r="F168">
        <f t="shared" si="47"/>
        <v>1102860.38420099</v>
      </c>
      <c r="G168" s="15">
        <v>1095869.79748955</v>
      </c>
      <c r="H168" s="7">
        <f t="shared" si="48"/>
        <v>1</v>
      </c>
      <c r="I168">
        <v>1102860.38420099</v>
      </c>
      <c r="J168" s="11">
        <f t="shared" si="49"/>
        <v>0</v>
      </c>
      <c r="K168" s="11">
        <f t="shared" si="50"/>
        <v>6.379030362415535E-3</v>
      </c>
      <c r="L168" s="22">
        <v>7200</v>
      </c>
      <c r="M168" s="7">
        <f t="shared" si="54"/>
        <v>0</v>
      </c>
      <c r="N168">
        <v>1104343.996305</v>
      </c>
      <c r="O168" s="11">
        <f t="shared" si="55"/>
        <v>1.3452401820425622E-3</v>
      </c>
      <c r="P168" s="11">
        <f t="shared" si="56"/>
        <v>7.7328518724240876E-3</v>
      </c>
      <c r="Q168" s="22">
        <v>7278.8908243179303</v>
      </c>
      <c r="R168" s="7">
        <f>IF(T168&lt;=0.0001,1,0)</f>
        <v>0</v>
      </c>
      <c r="S168">
        <v>1105464.1153859899</v>
      </c>
      <c r="T168" s="11">
        <f>(S168-$F168)/$F168</f>
        <v>2.3608892134486257E-3</v>
      </c>
      <c r="U168" s="11">
        <f>(S168-$G168)/$G168</f>
        <v>8.7549797598390489E-3</v>
      </c>
      <c r="V168" s="22">
        <v>7207.9409148693003</v>
      </c>
    </row>
    <row r="169" spans="1:22" x14ac:dyDescent="0.35">
      <c r="A169" s="14" t="s">
        <v>159</v>
      </c>
      <c r="B169" s="13" t="s">
        <v>566</v>
      </c>
      <c r="C169" s="13" t="s">
        <v>579</v>
      </c>
      <c r="D169" s="13">
        <v>1000</v>
      </c>
      <c r="E169" s="13">
        <v>1000</v>
      </c>
      <c r="F169">
        <f t="shared" si="47"/>
        <v>1152261.8478840019</v>
      </c>
      <c r="G169" s="15">
        <v>1127667.178579706</v>
      </c>
      <c r="H169" s="7">
        <f t="shared" si="48"/>
        <v>1</v>
      </c>
      <c r="I169">
        <v>1152261.8478840019</v>
      </c>
      <c r="J169" s="11">
        <f t="shared" si="49"/>
        <v>0</v>
      </c>
      <c r="K169" s="11">
        <f t="shared" si="50"/>
        <v>2.1810220046727648E-2</v>
      </c>
      <c r="L169" s="22">
        <v>7202.3</v>
      </c>
      <c r="M169" s="7" t="s">
        <v>561</v>
      </c>
      <c r="N169" t="s">
        <v>561</v>
      </c>
      <c r="O169" t="s">
        <v>561</v>
      </c>
      <c r="P169" t="s">
        <v>561</v>
      </c>
      <c r="Q169" s="24" t="s">
        <v>561</v>
      </c>
      <c r="R169" s="7" t="s">
        <v>561</v>
      </c>
      <c r="S169" t="s">
        <v>561</v>
      </c>
      <c r="T169" t="s">
        <v>561</v>
      </c>
      <c r="U169" t="s">
        <v>561</v>
      </c>
      <c r="V169" s="24" t="s">
        <v>561</v>
      </c>
    </row>
    <row r="170" spans="1:22" x14ac:dyDescent="0.35">
      <c r="A170" s="14" t="s">
        <v>160</v>
      </c>
      <c r="B170" s="13" t="s">
        <v>566</v>
      </c>
      <c r="C170" s="13" t="s">
        <v>579</v>
      </c>
      <c r="D170" s="13">
        <v>1000</v>
      </c>
      <c r="E170" s="13">
        <v>1000</v>
      </c>
      <c r="F170">
        <f t="shared" si="47"/>
        <v>1152141.2335320001</v>
      </c>
      <c r="G170" s="15">
        <v>1144682.4118562359</v>
      </c>
      <c r="H170" s="7">
        <f t="shared" si="48"/>
        <v>0</v>
      </c>
      <c r="I170">
        <v>1159140.7890589989</v>
      </c>
      <c r="J170" s="11">
        <f t="shared" si="49"/>
        <v>6.0752582437667065E-3</v>
      </c>
      <c r="K170" s="11">
        <f t="shared" si="50"/>
        <v>1.2630907099653121E-2</v>
      </c>
      <c r="L170" s="22">
        <v>7200.5</v>
      </c>
      <c r="M170" s="7">
        <f>IF(O170&lt;=0.0001,1,0)</f>
        <v>1</v>
      </c>
      <c r="N170">
        <v>1152141.2335320001</v>
      </c>
      <c r="O170" s="11">
        <f>(N170-$F170)/$F170</f>
        <v>0</v>
      </c>
      <c r="P170" s="11">
        <f>(N170-$G170)/$G170</f>
        <v>6.5160620959212739E-3</v>
      </c>
      <c r="Q170" s="22">
        <v>7374.6829862594604</v>
      </c>
      <c r="R170" s="7" t="s">
        <v>561</v>
      </c>
      <c r="S170" t="s">
        <v>561</v>
      </c>
      <c r="T170" t="s">
        <v>561</v>
      </c>
      <c r="U170" t="s">
        <v>561</v>
      </c>
      <c r="V170" s="24" t="s">
        <v>561</v>
      </c>
    </row>
    <row r="171" spans="1:22" x14ac:dyDescent="0.35">
      <c r="A171" s="14" t="s">
        <v>161</v>
      </c>
      <c r="B171" s="13" t="s">
        <v>566</v>
      </c>
      <c r="C171" s="13" t="s">
        <v>579</v>
      </c>
      <c r="D171" s="13">
        <v>1000</v>
      </c>
      <c r="E171" s="13">
        <v>1000</v>
      </c>
      <c r="F171">
        <f t="shared" si="47"/>
        <v>664908.12375399983</v>
      </c>
      <c r="G171" s="15">
        <v>646913.81664708804</v>
      </c>
      <c r="H171" s="7">
        <f t="shared" si="48"/>
        <v>0</v>
      </c>
      <c r="I171">
        <v>667977.90297500079</v>
      </c>
      <c r="J171" s="11">
        <f t="shared" si="49"/>
        <v>4.6168472174310657E-3</v>
      </c>
      <c r="K171" s="11">
        <f t="shared" si="50"/>
        <v>3.2560884905947024E-2</v>
      </c>
      <c r="L171" s="22">
        <v>7215.1</v>
      </c>
      <c r="M171" s="7" t="s">
        <v>561</v>
      </c>
      <c r="N171" t="s">
        <v>561</v>
      </c>
      <c r="O171" t="s">
        <v>561</v>
      </c>
      <c r="P171" t="s">
        <v>561</v>
      </c>
      <c r="Q171" s="24" t="s">
        <v>561</v>
      </c>
      <c r="R171" s="7">
        <f t="shared" ref="R171:R234" si="58">IF(T171&lt;=0.0001,1,0)</f>
        <v>1</v>
      </c>
      <c r="S171">
        <v>664908.12375399983</v>
      </c>
      <c r="T171" s="11">
        <f t="shared" ref="T171:T234" si="59">(S171-$F171)/$F171</f>
        <v>0</v>
      </c>
      <c r="U171" s="11">
        <f t="shared" ref="U171:U234" si="60">(S171-$G171)/$G171</f>
        <v>2.7815617233490394E-2</v>
      </c>
      <c r="V171" s="22">
        <v>7207.9162685871124</v>
      </c>
    </row>
    <row r="172" spans="1:22" x14ac:dyDescent="0.35">
      <c r="A172" s="14" t="s">
        <v>162</v>
      </c>
      <c r="B172" s="13" t="s">
        <v>566</v>
      </c>
      <c r="C172" s="13" t="s">
        <v>579</v>
      </c>
      <c r="D172" s="13">
        <v>1000</v>
      </c>
      <c r="E172" s="13">
        <v>1000</v>
      </c>
      <c r="F172">
        <f t="shared" si="47"/>
        <v>658764.60870600003</v>
      </c>
      <c r="G172" s="15">
        <v>640041.82904506265</v>
      </c>
      <c r="H172" s="7">
        <f t="shared" si="48"/>
        <v>0</v>
      </c>
      <c r="I172">
        <v>659764.45723799989</v>
      </c>
      <c r="J172" s="11">
        <f t="shared" si="49"/>
        <v>1.5177629744922748E-3</v>
      </c>
      <c r="K172" s="11">
        <f t="shared" si="50"/>
        <v>3.0814592574930987E-2</v>
      </c>
      <c r="L172" s="22">
        <v>7201.1</v>
      </c>
      <c r="M172" s="7" t="s">
        <v>561</v>
      </c>
      <c r="N172" t="s">
        <v>561</v>
      </c>
      <c r="O172" t="s">
        <v>561</v>
      </c>
      <c r="P172" t="s">
        <v>561</v>
      </c>
      <c r="Q172" s="24" t="s">
        <v>561</v>
      </c>
      <c r="R172" s="7">
        <f t="shared" si="58"/>
        <v>1</v>
      </c>
      <c r="S172">
        <v>658764.60870600003</v>
      </c>
      <c r="T172" s="11">
        <f t="shared" si="59"/>
        <v>0</v>
      </c>
      <c r="U172" s="11">
        <f t="shared" si="60"/>
        <v>2.9252431343232074E-2</v>
      </c>
      <c r="V172" s="22">
        <v>7210.7066524028778</v>
      </c>
    </row>
    <row r="173" spans="1:22" x14ac:dyDescent="0.35">
      <c r="A173" s="14" t="s">
        <v>163</v>
      </c>
      <c r="B173" s="13" t="s">
        <v>566</v>
      </c>
      <c r="C173" s="13" t="s">
        <v>579</v>
      </c>
      <c r="D173" s="13">
        <v>1000</v>
      </c>
      <c r="E173" s="13">
        <v>1000</v>
      </c>
      <c r="F173">
        <f t="shared" si="47"/>
        <v>687095.40091799991</v>
      </c>
      <c r="G173" s="15">
        <v>670019.57910547953</v>
      </c>
      <c r="H173" s="7">
        <f t="shared" si="48"/>
        <v>0</v>
      </c>
      <c r="I173">
        <v>691069.14558799984</v>
      </c>
      <c r="J173" s="11">
        <f t="shared" si="49"/>
        <v>5.783395820566941E-3</v>
      </c>
      <c r="K173" s="11">
        <f t="shared" si="50"/>
        <v>3.1416345341165816E-2</v>
      </c>
      <c r="L173" s="22">
        <v>7200.9</v>
      </c>
      <c r="M173" s="7" t="s">
        <v>561</v>
      </c>
      <c r="N173" t="s">
        <v>561</v>
      </c>
      <c r="O173" t="s">
        <v>561</v>
      </c>
      <c r="P173" t="s">
        <v>561</v>
      </c>
      <c r="Q173" s="24" t="s">
        <v>561</v>
      </c>
      <c r="R173" s="7">
        <f t="shared" si="58"/>
        <v>1</v>
      </c>
      <c r="S173">
        <v>687095.40091799991</v>
      </c>
      <c r="T173" s="11">
        <f t="shared" si="59"/>
        <v>0</v>
      </c>
      <c r="U173" s="11">
        <f t="shared" si="60"/>
        <v>2.548555645988396E-2</v>
      </c>
      <c r="V173" s="22">
        <v>7209.0872991085052</v>
      </c>
    </row>
    <row r="174" spans="1:22" x14ac:dyDescent="0.35">
      <c r="A174" s="14" t="s">
        <v>164</v>
      </c>
      <c r="B174" s="13" t="s">
        <v>566</v>
      </c>
      <c r="C174" s="13" t="s">
        <v>579</v>
      </c>
      <c r="D174" s="13">
        <v>1000</v>
      </c>
      <c r="E174" s="13">
        <v>1000</v>
      </c>
      <c r="F174">
        <f t="shared" si="47"/>
        <v>652325.44858199684</v>
      </c>
      <c r="G174" s="15">
        <v>630582.51322756591</v>
      </c>
      <c r="H174" s="7">
        <f t="shared" si="48"/>
        <v>0</v>
      </c>
      <c r="I174">
        <v>655662.37583899964</v>
      </c>
      <c r="J174" s="11">
        <f t="shared" si="49"/>
        <v>5.1154332001863449E-3</v>
      </c>
      <c r="K174" s="11">
        <f t="shared" si="50"/>
        <v>3.9772531088858233E-2</v>
      </c>
      <c r="L174" s="22">
        <v>7201.6</v>
      </c>
      <c r="M174" s="7" t="s">
        <v>561</v>
      </c>
      <c r="N174" t="s">
        <v>561</v>
      </c>
      <c r="O174" t="s">
        <v>561</v>
      </c>
      <c r="P174" t="s">
        <v>561</v>
      </c>
      <c r="Q174" s="24" t="s">
        <v>561</v>
      </c>
      <c r="R174" s="7">
        <f t="shared" si="58"/>
        <v>1</v>
      </c>
      <c r="S174">
        <v>652325.44858199684</v>
      </c>
      <c r="T174" s="11">
        <f t="shared" si="59"/>
        <v>0</v>
      </c>
      <c r="U174" s="11">
        <f t="shared" si="60"/>
        <v>3.4480714099003711E-2</v>
      </c>
      <c r="V174" s="22">
        <v>7208.7923581600189</v>
      </c>
    </row>
    <row r="175" spans="1:22" x14ac:dyDescent="0.35">
      <c r="A175" s="14" t="s">
        <v>165</v>
      </c>
      <c r="B175" s="13" t="s">
        <v>566</v>
      </c>
      <c r="C175" s="13" t="s">
        <v>579</v>
      </c>
      <c r="D175" s="13">
        <v>1000</v>
      </c>
      <c r="E175" s="13">
        <v>1000</v>
      </c>
      <c r="F175">
        <f t="shared" si="47"/>
        <v>679718.93578099972</v>
      </c>
      <c r="G175" s="15">
        <v>660729.72841271653</v>
      </c>
      <c r="H175" s="7">
        <f t="shared" si="48"/>
        <v>1</v>
      </c>
      <c r="I175">
        <v>679718.93578099972</v>
      </c>
      <c r="J175" s="11">
        <f t="shared" si="49"/>
        <v>0</v>
      </c>
      <c r="K175" s="11">
        <f t="shared" si="50"/>
        <v>2.8739750236305112E-2</v>
      </c>
      <c r="L175" s="22">
        <v>7200.8</v>
      </c>
      <c r="M175" s="7" t="s">
        <v>561</v>
      </c>
      <c r="N175" t="s">
        <v>561</v>
      </c>
      <c r="O175" t="s">
        <v>561</v>
      </c>
      <c r="P175" t="s">
        <v>561</v>
      </c>
      <c r="Q175" s="24" t="s">
        <v>561</v>
      </c>
      <c r="R175" s="7">
        <f t="shared" si="58"/>
        <v>0</v>
      </c>
      <c r="S175">
        <v>682193.86168699991</v>
      </c>
      <c r="T175" s="11">
        <f t="shared" si="59"/>
        <v>3.6411018962661289E-3</v>
      </c>
      <c r="U175" s="11">
        <f t="shared" si="60"/>
        <v>3.2485496491654865E-2</v>
      </c>
      <c r="V175" s="22">
        <v>7209.137348651886</v>
      </c>
    </row>
    <row r="176" spans="1:22" x14ac:dyDescent="0.35">
      <c r="A176" s="14" t="s">
        <v>166</v>
      </c>
      <c r="B176" s="13" t="s">
        <v>566</v>
      </c>
      <c r="C176" s="13" t="s">
        <v>579</v>
      </c>
      <c r="D176" s="13">
        <v>1000</v>
      </c>
      <c r="E176" s="13">
        <v>1000</v>
      </c>
      <c r="F176">
        <f t="shared" si="47"/>
        <v>427067.95621199987</v>
      </c>
      <c r="G176" s="15">
        <v>415981.47326059622</v>
      </c>
      <c r="H176" s="7">
        <f t="shared" si="48"/>
        <v>0</v>
      </c>
      <c r="I176">
        <v>433258.53486500011</v>
      </c>
      <c r="J176" s="11">
        <f t="shared" si="49"/>
        <v>1.4495535342687207E-2</v>
      </c>
      <c r="K176" s="11">
        <f t="shared" si="50"/>
        <v>4.1533247788611206E-2</v>
      </c>
      <c r="L176" s="22">
        <v>7211.3</v>
      </c>
      <c r="M176" s="7">
        <f t="shared" ref="M176:M195" si="61">IF(O176&lt;=0.0001,1,0)</f>
        <v>0</v>
      </c>
      <c r="N176">
        <v>429272.46559699991</v>
      </c>
      <c r="O176" s="11">
        <f t="shared" ref="O176:O195" si="62">(N176-$F176)/$F176</f>
        <v>5.1619639285362482E-3</v>
      </c>
      <c r="P176" s="11">
        <f t="shared" ref="P176:P195" si="63">(N176-$G176)/$G176</f>
        <v>3.1950923756831368E-2</v>
      </c>
      <c r="Q176" s="22">
        <v>7205.3448646068573</v>
      </c>
      <c r="R176" s="7">
        <f t="shared" si="58"/>
        <v>1</v>
      </c>
      <c r="S176">
        <v>427067.95621199987</v>
      </c>
      <c r="T176" s="11">
        <f t="shared" si="59"/>
        <v>0</v>
      </c>
      <c r="U176" s="11">
        <f t="shared" si="60"/>
        <v>2.6651386333396639E-2</v>
      </c>
      <c r="V176" s="22">
        <v>7205.4783401489258</v>
      </c>
    </row>
    <row r="177" spans="1:22" x14ac:dyDescent="0.35">
      <c r="A177" s="14" t="s">
        <v>167</v>
      </c>
      <c r="B177" s="13" t="s">
        <v>566</v>
      </c>
      <c r="C177" s="13" t="s">
        <v>579</v>
      </c>
      <c r="D177" s="13">
        <v>1000</v>
      </c>
      <c r="E177" s="13">
        <v>1000</v>
      </c>
      <c r="F177">
        <f t="shared" si="47"/>
        <v>412413.78060100088</v>
      </c>
      <c r="G177" s="15">
        <v>400662.47558080452</v>
      </c>
      <c r="H177" s="7">
        <f t="shared" si="48"/>
        <v>0</v>
      </c>
      <c r="I177">
        <v>417730.3064969987</v>
      </c>
      <c r="J177" s="11">
        <f t="shared" si="49"/>
        <v>1.2891242111866815E-2</v>
      </c>
      <c r="K177" s="11">
        <f t="shared" si="50"/>
        <v>4.259902525549087E-2</v>
      </c>
      <c r="L177" s="22">
        <v>7202.5</v>
      </c>
      <c r="M177" s="7">
        <f t="shared" si="61"/>
        <v>0</v>
      </c>
      <c r="N177">
        <v>447410.58869499998</v>
      </c>
      <c r="O177" s="11">
        <f t="shared" si="62"/>
        <v>8.4858483736889395E-2</v>
      </c>
      <c r="P177" s="11">
        <f t="shared" si="63"/>
        <v>0.11667704355499954</v>
      </c>
      <c r="Q177" s="22">
        <v>7219.9050414562234</v>
      </c>
      <c r="R177" s="7">
        <f t="shared" si="58"/>
        <v>1</v>
      </c>
      <c r="S177">
        <v>412413.78060100088</v>
      </c>
      <c r="T177" s="11">
        <f t="shared" si="59"/>
        <v>0</v>
      </c>
      <c r="U177" s="11">
        <f t="shared" si="60"/>
        <v>2.9329687046837985E-2</v>
      </c>
      <c r="V177" s="22">
        <v>7207.0355389118185</v>
      </c>
    </row>
    <row r="178" spans="1:22" x14ac:dyDescent="0.35">
      <c r="A178" s="14" t="s">
        <v>168</v>
      </c>
      <c r="B178" s="13" t="s">
        <v>566</v>
      </c>
      <c r="C178" s="13" t="s">
        <v>579</v>
      </c>
      <c r="D178" s="13">
        <v>1000</v>
      </c>
      <c r="E178" s="13">
        <v>1000</v>
      </c>
      <c r="F178">
        <f t="shared" si="47"/>
        <v>424349.53799899988</v>
      </c>
      <c r="G178" s="15">
        <v>413284.24236074887</v>
      </c>
      <c r="H178" s="7">
        <f t="shared" si="48"/>
        <v>0</v>
      </c>
      <c r="I178">
        <v>430519.99301500001</v>
      </c>
      <c r="J178" s="11">
        <f t="shared" si="49"/>
        <v>1.4540972626237856E-2</v>
      </c>
      <c r="K178" s="11">
        <f t="shared" si="50"/>
        <v>4.1704349906489642E-2</v>
      </c>
      <c r="L178" s="22">
        <v>7205.5</v>
      </c>
      <c r="M178" s="7">
        <f t="shared" si="61"/>
        <v>0</v>
      </c>
      <c r="N178">
        <v>433955.15047299978</v>
      </c>
      <c r="O178" s="11">
        <f t="shared" si="62"/>
        <v>2.2636085617754452E-2</v>
      </c>
      <c r="P178" s="11">
        <f t="shared" si="63"/>
        <v>5.0016201910276607E-2</v>
      </c>
      <c r="Q178" s="22">
        <v>7203.9544005393982</v>
      </c>
      <c r="R178" s="7">
        <f t="shared" si="58"/>
        <v>1</v>
      </c>
      <c r="S178">
        <v>424349.53799899988</v>
      </c>
      <c r="T178" s="11">
        <f t="shared" si="59"/>
        <v>0</v>
      </c>
      <c r="U178" s="11">
        <f t="shared" si="60"/>
        <v>2.6774056458199757E-2</v>
      </c>
      <c r="V178" s="22">
        <v>7205.0834424495697</v>
      </c>
    </row>
    <row r="179" spans="1:22" x14ac:dyDescent="0.35">
      <c r="A179" s="14" t="s">
        <v>169</v>
      </c>
      <c r="B179" s="13" t="s">
        <v>566</v>
      </c>
      <c r="C179" s="13" t="s">
        <v>579</v>
      </c>
      <c r="D179" s="13">
        <v>1000</v>
      </c>
      <c r="E179" s="13">
        <v>1000</v>
      </c>
      <c r="F179">
        <f t="shared" si="47"/>
        <v>435848.28620400012</v>
      </c>
      <c r="G179" s="15">
        <v>421549.39405645267</v>
      </c>
      <c r="H179" s="7">
        <f t="shared" si="48"/>
        <v>0</v>
      </c>
      <c r="I179">
        <v>439363.28874899988</v>
      </c>
      <c r="J179" s="11">
        <f t="shared" si="49"/>
        <v>8.0647387089978258E-3</v>
      </c>
      <c r="K179" s="11">
        <f t="shared" si="50"/>
        <v>4.2258143277420127E-2</v>
      </c>
      <c r="L179" s="22">
        <v>7204.5</v>
      </c>
      <c r="M179" s="7">
        <f t="shared" si="61"/>
        <v>0</v>
      </c>
      <c r="N179">
        <v>440073.69253</v>
      </c>
      <c r="O179" s="11">
        <f t="shared" si="62"/>
        <v>9.6946723429862606E-3</v>
      </c>
      <c r="P179" s="11">
        <f t="shared" si="63"/>
        <v>4.3943364015526516E-2</v>
      </c>
      <c r="Q179" s="22">
        <v>7204.3857154846191</v>
      </c>
      <c r="R179" s="7">
        <f t="shared" si="58"/>
        <v>1</v>
      </c>
      <c r="S179">
        <v>435848.28620400012</v>
      </c>
      <c r="T179" s="11">
        <f t="shared" si="59"/>
        <v>0</v>
      </c>
      <c r="U179" s="11">
        <f t="shared" si="60"/>
        <v>3.391984984239494E-2</v>
      </c>
      <c r="V179" s="22">
        <v>7204.6313519477844</v>
      </c>
    </row>
    <row r="180" spans="1:22" x14ac:dyDescent="0.35">
      <c r="A180" s="14" t="s">
        <v>170</v>
      </c>
      <c r="B180" s="13" t="s">
        <v>566</v>
      </c>
      <c r="C180" s="13" t="s">
        <v>579</v>
      </c>
      <c r="D180" s="13">
        <v>1000</v>
      </c>
      <c r="E180" s="13">
        <v>1000</v>
      </c>
      <c r="F180">
        <f t="shared" si="47"/>
        <v>425248.35511200002</v>
      </c>
      <c r="G180" s="15">
        <v>412353.58381542738</v>
      </c>
      <c r="H180" s="7">
        <f t="shared" si="48"/>
        <v>0</v>
      </c>
      <c r="I180">
        <v>428334.63092200091</v>
      </c>
      <c r="J180" s="11">
        <f t="shared" si="49"/>
        <v>7.2575843572353022E-3</v>
      </c>
      <c r="K180" s="11">
        <f t="shared" si="50"/>
        <v>3.8755688646389383E-2</v>
      </c>
      <c r="L180" s="22">
        <v>7205.2</v>
      </c>
      <c r="M180" s="7">
        <f t="shared" si="61"/>
        <v>1</v>
      </c>
      <c r="N180">
        <v>425248.35511200002</v>
      </c>
      <c r="O180" s="11">
        <f t="shared" si="62"/>
        <v>0</v>
      </c>
      <c r="P180" s="11">
        <f t="shared" si="63"/>
        <v>3.1271151270857965E-2</v>
      </c>
      <c r="Q180" s="22">
        <v>7204.9473180770874</v>
      </c>
      <c r="R180" s="7">
        <f t="shared" si="58"/>
        <v>0</v>
      </c>
      <c r="S180">
        <v>427272.03463299997</v>
      </c>
      <c r="T180" s="11">
        <f t="shared" si="59"/>
        <v>4.758817986414002E-3</v>
      </c>
      <c r="U180" s="11">
        <f t="shared" si="60"/>
        <v>3.6178782974395599E-2</v>
      </c>
      <c r="V180" s="22">
        <v>7210.1907224655151</v>
      </c>
    </row>
    <row r="181" spans="1:22" x14ac:dyDescent="0.35">
      <c r="A181" s="14" t="s">
        <v>171</v>
      </c>
      <c r="B181" s="13" t="s">
        <v>566</v>
      </c>
      <c r="C181" s="13" t="s">
        <v>579</v>
      </c>
      <c r="D181" s="13">
        <v>1000</v>
      </c>
      <c r="E181" s="13">
        <v>1000</v>
      </c>
      <c r="F181">
        <f t="shared" si="47"/>
        <v>166719.28194400089</v>
      </c>
      <c r="G181" s="15">
        <v>165404.6216163135</v>
      </c>
      <c r="H181" s="7">
        <f t="shared" si="48"/>
        <v>0</v>
      </c>
      <c r="I181">
        <v>167041.82236500131</v>
      </c>
      <c r="J181" s="11">
        <f t="shared" si="49"/>
        <v>1.9346317788770081E-3</v>
      </c>
      <c r="K181" s="11">
        <f t="shared" si="50"/>
        <v>9.8981560048884403E-3</v>
      </c>
      <c r="L181" s="22">
        <v>7211.5</v>
      </c>
      <c r="M181" s="7">
        <f t="shared" si="61"/>
        <v>1</v>
      </c>
      <c r="N181">
        <v>166719.28194400089</v>
      </c>
      <c r="O181" s="11">
        <f t="shared" si="62"/>
        <v>0</v>
      </c>
      <c r="P181" s="11">
        <f t="shared" si="63"/>
        <v>7.9481474872993025E-3</v>
      </c>
      <c r="Q181" s="22">
        <v>7204.7650787830353</v>
      </c>
      <c r="R181" s="7">
        <f t="shared" si="58"/>
        <v>0</v>
      </c>
      <c r="S181">
        <v>167053.93402500139</v>
      </c>
      <c r="T181" s="11">
        <f t="shared" si="59"/>
        <v>2.0072788048169981E-3</v>
      </c>
      <c r="U181" s="11">
        <f t="shared" si="60"/>
        <v>9.9713804401051157E-3</v>
      </c>
      <c r="V181" s="22">
        <v>7204.7523846626282</v>
      </c>
    </row>
    <row r="182" spans="1:22" x14ac:dyDescent="0.35">
      <c r="A182" s="14" t="s">
        <v>172</v>
      </c>
      <c r="B182" s="13" t="s">
        <v>566</v>
      </c>
      <c r="C182" s="13" t="s">
        <v>579</v>
      </c>
      <c r="D182" s="13">
        <v>1000</v>
      </c>
      <c r="E182" s="13">
        <v>1000</v>
      </c>
      <c r="F182">
        <f t="shared" si="47"/>
        <v>171370.802868</v>
      </c>
      <c r="G182" s="15">
        <v>169445.8512089304</v>
      </c>
      <c r="H182" s="7">
        <f t="shared" si="48"/>
        <v>1</v>
      </c>
      <c r="I182">
        <v>171370.802868</v>
      </c>
      <c r="J182" s="11">
        <f t="shared" si="49"/>
        <v>0</v>
      </c>
      <c r="K182" s="11">
        <f t="shared" si="50"/>
        <v>1.1360276131494616E-2</v>
      </c>
      <c r="L182" s="22">
        <v>7211.1</v>
      </c>
      <c r="M182" s="7">
        <f t="shared" si="61"/>
        <v>0</v>
      </c>
      <c r="N182">
        <v>171415.84069600041</v>
      </c>
      <c r="O182" s="11">
        <f t="shared" si="62"/>
        <v>2.6280922564795775E-4</v>
      </c>
      <c r="P182" s="11">
        <f t="shared" si="63"/>
        <v>1.162607094251584E-2</v>
      </c>
      <c r="Q182" s="22">
        <v>7204.5591063499451</v>
      </c>
      <c r="R182" s="7">
        <f t="shared" si="58"/>
        <v>0</v>
      </c>
      <c r="S182">
        <v>171779.6502969999</v>
      </c>
      <c r="T182" s="11">
        <f t="shared" si="59"/>
        <v>2.3857472927568536E-3</v>
      </c>
      <c r="U182" s="11">
        <f t="shared" si="60"/>
        <v>1.3773126172277154E-2</v>
      </c>
      <c r="V182" s="22">
        <v>7206.0316386222839</v>
      </c>
    </row>
    <row r="183" spans="1:22" x14ac:dyDescent="0.35">
      <c r="A183" s="14" t="s">
        <v>173</v>
      </c>
      <c r="B183" s="13" t="s">
        <v>566</v>
      </c>
      <c r="C183" s="13" t="s">
        <v>579</v>
      </c>
      <c r="D183" s="13">
        <v>1000</v>
      </c>
      <c r="E183" s="13">
        <v>1000</v>
      </c>
      <c r="F183">
        <f t="shared" si="47"/>
        <v>162793.6285879997</v>
      </c>
      <c r="G183" s="15">
        <v>161250.96029353701</v>
      </c>
      <c r="H183" s="7">
        <f t="shared" si="48"/>
        <v>0</v>
      </c>
      <c r="I183">
        <v>163127.7636060002</v>
      </c>
      <c r="J183" s="11">
        <f t="shared" si="49"/>
        <v>2.0525067282954235E-3</v>
      </c>
      <c r="K183" s="11">
        <f t="shared" si="50"/>
        <v>1.1639020995885593E-2</v>
      </c>
      <c r="L183" s="22">
        <v>7210.6</v>
      </c>
      <c r="M183" s="7">
        <f t="shared" si="61"/>
        <v>0</v>
      </c>
      <c r="N183">
        <v>162978.649038</v>
      </c>
      <c r="O183" s="11">
        <f t="shared" si="62"/>
        <v>1.1365337304972431E-3</v>
      </c>
      <c r="P183" s="11">
        <f t="shared" si="63"/>
        <v>1.0714284995996044E-2</v>
      </c>
      <c r="Q183" s="22">
        <v>7204.4054934978494</v>
      </c>
      <c r="R183" s="7">
        <f t="shared" si="58"/>
        <v>1</v>
      </c>
      <c r="S183">
        <v>162793.6285879997</v>
      </c>
      <c r="T183" s="11">
        <f t="shared" si="59"/>
        <v>0</v>
      </c>
      <c r="U183" s="11">
        <f t="shared" si="60"/>
        <v>9.5668781857451441E-3</v>
      </c>
      <c r="V183" s="22">
        <v>7207.3111526966086</v>
      </c>
    </row>
    <row r="184" spans="1:22" x14ac:dyDescent="0.35">
      <c r="A184" s="14" t="s">
        <v>174</v>
      </c>
      <c r="B184" s="13" t="s">
        <v>566</v>
      </c>
      <c r="C184" s="13" t="s">
        <v>579</v>
      </c>
      <c r="D184" s="13">
        <v>1000</v>
      </c>
      <c r="E184" s="13">
        <v>1000</v>
      </c>
      <c r="F184">
        <f t="shared" si="47"/>
        <v>160922.25294800039</v>
      </c>
      <c r="G184" s="15">
        <v>159452.88493851601</v>
      </c>
      <c r="H184" s="7">
        <f t="shared" si="48"/>
        <v>0</v>
      </c>
      <c r="I184">
        <v>160991.31169500001</v>
      </c>
      <c r="J184" s="11">
        <f t="shared" si="49"/>
        <v>4.2914355059358829E-4</v>
      </c>
      <c r="K184" s="11">
        <f t="shared" si="50"/>
        <v>9.6481588092758863E-3</v>
      </c>
      <c r="L184" s="22">
        <v>7211.2</v>
      </c>
      <c r="M184" s="7">
        <f t="shared" si="61"/>
        <v>1</v>
      </c>
      <c r="N184">
        <v>160922.25294800039</v>
      </c>
      <c r="O184" s="11">
        <f t="shared" si="62"/>
        <v>0</v>
      </c>
      <c r="P184" s="11">
        <f t="shared" si="63"/>
        <v>9.2150606748253681E-3</v>
      </c>
      <c r="Q184" s="22">
        <v>7203.1369044780731</v>
      </c>
      <c r="R184" s="7">
        <f t="shared" si="58"/>
        <v>0</v>
      </c>
      <c r="S184">
        <v>160973.31394299999</v>
      </c>
      <c r="T184" s="11">
        <f t="shared" si="59"/>
        <v>3.1730226282687728E-4</v>
      </c>
      <c r="U184" s="11">
        <f t="shared" si="60"/>
        <v>9.5352868972564536E-3</v>
      </c>
      <c r="V184" s="22">
        <v>7205.5878531932831</v>
      </c>
    </row>
    <row r="185" spans="1:22" x14ac:dyDescent="0.35">
      <c r="A185" s="14" t="s">
        <v>175</v>
      </c>
      <c r="B185" s="13" t="s">
        <v>566</v>
      </c>
      <c r="C185" s="13" t="s">
        <v>579</v>
      </c>
      <c r="D185" s="13">
        <v>1000</v>
      </c>
      <c r="E185" s="13">
        <v>1000</v>
      </c>
      <c r="F185">
        <f t="shared" si="47"/>
        <v>159305.0889119998</v>
      </c>
      <c r="G185" s="15">
        <v>158192.53267938481</v>
      </c>
      <c r="H185" s="7">
        <f t="shared" si="48"/>
        <v>1</v>
      </c>
      <c r="I185">
        <v>159311.68391600001</v>
      </c>
      <c r="J185" s="11">
        <f t="shared" si="49"/>
        <v>4.1398577065226888E-5</v>
      </c>
      <c r="K185" s="11">
        <f t="shared" si="50"/>
        <v>7.0746148232131217E-3</v>
      </c>
      <c r="L185" s="22">
        <v>7213.4</v>
      </c>
      <c r="M185" s="7">
        <f t="shared" si="61"/>
        <v>0</v>
      </c>
      <c r="N185">
        <v>159519.24848400231</v>
      </c>
      <c r="O185" s="11">
        <f t="shared" si="62"/>
        <v>1.3443360376315969E-3</v>
      </c>
      <c r="P185" s="11">
        <f t="shared" si="63"/>
        <v>8.3867157453405925E-3</v>
      </c>
      <c r="Q185" s="22">
        <v>7205.0746486186981</v>
      </c>
      <c r="R185" s="7">
        <f t="shared" si="58"/>
        <v>1</v>
      </c>
      <c r="S185">
        <v>159305.0889119998</v>
      </c>
      <c r="T185" s="11">
        <f t="shared" si="59"/>
        <v>0</v>
      </c>
      <c r="U185" s="11">
        <f t="shared" si="60"/>
        <v>7.0329250930564356E-3</v>
      </c>
      <c r="V185" s="22">
        <v>7206.2564113140106</v>
      </c>
    </row>
    <row r="186" spans="1:22" x14ac:dyDescent="0.35">
      <c r="A186" s="14" t="s">
        <v>176</v>
      </c>
      <c r="B186" s="13" t="s">
        <v>566</v>
      </c>
      <c r="C186" s="13" t="s">
        <v>579</v>
      </c>
      <c r="D186" s="13">
        <v>1000</v>
      </c>
      <c r="E186" s="13">
        <v>1000</v>
      </c>
      <c r="F186">
        <f t="shared" si="47"/>
        <v>121579.0951390002</v>
      </c>
      <c r="G186" s="15">
        <v>121452.6291537113</v>
      </c>
      <c r="H186" s="7">
        <f t="shared" si="48"/>
        <v>1</v>
      </c>
      <c r="I186">
        <v>121579.0951390004</v>
      </c>
      <c r="J186" s="11">
        <f t="shared" si="49"/>
        <v>1.6756730502412198E-15</v>
      </c>
      <c r="K186" s="11">
        <f t="shared" si="50"/>
        <v>1.0412782841370128E-3</v>
      </c>
      <c r="L186" s="22">
        <v>7210.9</v>
      </c>
      <c r="M186" s="7">
        <f t="shared" si="61"/>
        <v>0</v>
      </c>
      <c r="N186">
        <v>121602.28408</v>
      </c>
      <c r="O186" s="11">
        <f t="shared" si="62"/>
        <v>1.907313175286008E-4</v>
      </c>
      <c r="P186" s="11">
        <f t="shared" si="63"/>
        <v>1.2322082060429833E-3</v>
      </c>
      <c r="Q186" s="22">
        <v>4872.2309954166412</v>
      </c>
      <c r="R186" s="7">
        <f t="shared" si="58"/>
        <v>1</v>
      </c>
      <c r="S186">
        <v>121579.0951390002</v>
      </c>
      <c r="T186" s="11">
        <f t="shared" si="59"/>
        <v>0</v>
      </c>
      <c r="U186" s="11">
        <f t="shared" si="60"/>
        <v>1.0412782841353354E-3</v>
      </c>
      <c r="V186" s="22">
        <v>7209.4817719459534</v>
      </c>
    </row>
    <row r="187" spans="1:22" x14ac:dyDescent="0.35">
      <c r="A187" s="14" t="s">
        <v>177</v>
      </c>
      <c r="B187" s="13" t="s">
        <v>566</v>
      </c>
      <c r="C187" s="13" t="s">
        <v>579</v>
      </c>
      <c r="D187" s="13">
        <v>1000</v>
      </c>
      <c r="E187" s="13">
        <v>1000</v>
      </c>
      <c r="F187">
        <f t="shared" si="47"/>
        <v>117569.8118310001</v>
      </c>
      <c r="G187" s="15">
        <v>117280.83830891149</v>
      </c>
      <c r="H187" s="7">
        <f t="shared" si="48"/>
        <v>1</v>
      </c>
      <c r="I187">
        <v>117569.8118310003</v>
      </c>
      <c r="J187" s="11">
        <f t="shared" si="49"/>
        <v>1.7328156779733696E-15</v>
      </c>
      <c r="K187" s="11">
        <f t="shared" si="50"/>
        <v>2.4639448886583644E-3</v>
      </c>
      <c r="L187" s="22">
        <v>7212.7</v>
      </c>
      <c r="M187" s="7">
        <f t="shared" si="61"/>
        <v>0</v>
      </c>
      <c r="N187">
        <v>117611.0587400002</v>
      </c>
      <c r="O187" s="11">
        <f t="shared" si="62"/>
        <v>3.5082908067749559E-4</v>
      </c>
      <c r="P187" s="11">
        <f t="shared" si="63"/>
        <v>2.8156383928542505E-3</v>
      </c>
      <c r="Q187" s="22">
        <v>7204.5771074295044</v>
      </c>
      <c r="R187" s="7">
        <f t="shared" si="58"/>
        <v>1</v>
      </c>
      <c r="S187">
        <v>117569.8118310001</v>
      </c>
      <c r="T187" s="11">
        <f t="shared" si="59"/>
        <v>0</v>
      </c>
      <c r="U187" s="11">
        <f t="shared" si="60"/>
        <v>2.4639448886566275E-3</v>
      </c>
      <c r="V187" s="22">
        <v>5637.0402274131766</v>
      </c>
    </row>
    <row r="188" spans="1:22" x14ac:dyDescent="0.35">
      <c r="A188" s="14" t="s">
        <v>178</v>
      </c>
      <c r="B188" s="13" t="s">
        <v>566</v>
      </c>
      <c r="C188" s="13" t="s">
        <v>579</v>
      </c>
      <c r="D188" s="13">
        <v>1000</v>
      </c>
      <c r="E188" s="13">
        <v>1000</v>
      </c>
      <c r="F188">
        <f t="shared" si="47"/>
        <v>120009.5408569986</v>
      </c>
      <c r="G188" s="15">
        <v>119384.8952942266</v>
      </c>
      <c r="H188" s="7">
        <f t="shared" si="48"/>
        <v>0</v>
      </c>
      <c r="I188">
        <v>120067.603118</v>
      </c>
      <c r="J188" s="11">
        <f t="shared" si="49"/>
        <v>4.8381370836658852E-4</v>
      </c>
      <c r="K188" s="11">
        <f t="shared" si="50"/>
        <v>5.7185443945052435E-3</v>
      </c>
      <c r="L188" s="22">
        <v>7205.7</v>
      </c>
      <c r="M188" s="7">
        <f t="shared" si="61"/>
        <v>1</v>
      </c>
      <c r="N188">
        <v>120009.5408569986</v>
      </c>
      <c r="O188" s="11">
        <f t="shared" si="62"/>
        <v>0</v>
      </c>
      <c r="P188" s="11">
        <f t="shared" si="63"/>
        <v>5.2321992764038251E-3</v>
      </c>
      <c r="Q188" s="22">
        <v>6721.8386030197144</v>
      </c>
      <c r="R188" s="7">
        <f t="shared" si="58"/>
        <v>1</v>
      </c>
      <c r="S188">
        <v>120020.357880001</v>
      </c>
      <c r="T188" s="11">
        <f t="shared" si="59"/>
        <v>9.0134692001583627E-5</v>
      </c>
      <c r="U188" s="11">
        <f t="shared" si="60"/>
        <v>5.322805571075678E-3</v>
      </c>
      <c r="V188" s="22">
        <v>7203.380083322525</v>
      </c>
    </row>
    <row r="189" spans="1:22" x14ac:dyDescent="0.35">
      <c r="A189" s="14" t="s">
        <v>179</v>
      </c>
      <c r="B189" s="13" t="s">
        <v>566</v>
      </c>
      <c r="C189" s="13" t="s">
        <v>579</v>
      </c>
      <c r="D189" s="13">
        <v>1000</v>
      </c>
      <c r="E189" s="13">
        <v>1000</v>
      </c>
      <c r="F189">
        <f t="shared" si="47"/>
        <v>120140.9564860002</v>
      </c>
      <c r="G189" s="15">
        <v>119726.26848862651</v>
      </c>
      <c r="H189" s="7">
        <f t="shared" si="48"/>
        <v>1</v>
      </c>
      <c r="I189">
        <v>120140.9564860009</v>
      </c>
      <c r="J189" s="11">
        <f t="shared" si="49"/>
        <v>5.8139368238091464E-15</v>
      </c>
      <c r="K189" s="11">
        <f t="shared" si="50"/>
        <v>3.4636341933080976E-3</v>
      </c>
      <c r="L189" s="22">
        <v>7208.6</v>
      </c>
      <c r="M189" s="7">
        <f t="shared" si="61"/>
        <v>0</v>
      </c>
      <c r="N189">
        <v>120209.67889700001</v>
      </c>
      <c r="O189" s="11">
        <f t="shared" si="62"/>
        <v>5.7201484830707262E-4</v>
      </c>
      <c r="P189" s="11">
        <f t="shared" si="63"/>
        <v>4.0376302917970088E-3</v>
      </c>
      <c r="Q189" s="22">
        <v>7206.5546340942383</v>
      </c>
      <c r="R189" s="7">
        <f t="shared" si="58"/>
        <v>1</v>
      </c>
      <c r="S189">
        <v>120140.9564860002</v>
      </c>
      <c r="T189" s="11">
        <f t="shared" si="59"/>
        <v>0</v>
      </c>
      <c r="U189" s="11">
        <f t="shared" si="60"/>
        <v>3.4636341933022637E-3</v>
      </c>
      <c r="V189" s="22">
        <v>7208.6849217414856</v>
      </c>
    </row>
    <row r="190" spans="1:22" x14ac:dyDescent="0.35">
      <c r="A190" s="14" t="s">
        <v>180</v>
      </c>
      <c r="B190" s="13" t="s">
        <v>566</v>
      </c>
      <c r="C190" s="13" t="s">
        <v>579</v>
      </c>
      <c r="D190" s="13">
        <v>1000</v>
      </c>
      <c r="E190" s="13">
        <v>1000</v>
      </c>
      <c r="F190">
        <f t="shared" si="47"/>
        <v>117769.3472219995</v>
      </c>
      <c r="G190" s="15">
        <v>117322.4745696301</v>
      </c>
      <c r="H190" s="7">
        <f t="shared" si="48"/>
        <v>1</v>
      </c>
      <c r="I190">
        <v>117770.48674300021</v>
      </c>
      <c r="J190" s="11">
        <f t="shared" si="49"/>
        <v>9.6758709085400613E-6</v>
      </c>
      <c r="K190" s="11">
        <f t="shared" si="50"/>
        <v>3.818638969332485E-3</v>
      </c>
      <c r="L190" s="22">
        <v>7208.3</v>
      </c>
      <c r="M190" s="7">
        <f t="shared" si="61"/>
        <v>0</v>
      </c>
      <c r="N190">
        <v>117802.51592000011</v>
      </c>
      <c r="O190" s="11">
        <f t="shared" si="62"/>
        <v>2.8164118068924179E-4</v>
      </c>
      <c r="P190" s="11">
        <f t="shared" si="63"/>
        <v>4.0916401749189982E-3</v>
      </c>
      <c r="Q190" s="22">
        <v>7208.2455971240997</v>
      </c>
      <c r="R190" s="7">
        <f t="shared" si="58"/>
        <v>1</v>
      </c>
      <c r="S190">
        <v>117769.3472219995</v>
      </c>
      <c r="T190" s="11">
        <f t="shared" si="59"/>
        <v>0</v>
      </c>
      <c r="U190" s="11">
        <f t="shared" si="60"/>
        <v>3.8089262437453102E-3</v>
      </c>
      <c r="V190" s="22">
        <v>7208.5624661445618</v>
      </c>
    </row>
    <row r="191" spans="1:22" x14ac:dyDescent="0.35">
      <c r="A191" s="14" t="s">
        <v>181</v>
      </c>
      <c r="B191" s="13" t="s">
        <v>566</v>
      </c>
      <c r="C191" s="13" t="s">
        <v>579</v>
      </c>
      <c r="D191" s="13">
        <v>1000</v>
      </c>
      <c r="E191" s="13">
        <v>1000</v>
      </c>
      <c r="F191">
        <f t="shared" si="47"/>
        <v>102526.946562</v>
      </c>
      <c r="G191" s="15">
        <v>102516.6986199564</v>
      </c>
      <c r="H191" s="7">
        <f t="shared" si="48"/>
        <v>1</v>
      </c>
      <c r="I191">
        <v>102526.946562</v>
      </c>
      <c r="J191" s="11">
        <f t="shared" si="49"/>
        <v>0</v>
      </c>
      <c r="K191" s="11">
        <f t="shared" si="50"/>
        <v>9.9963636964060494E-5</v>
      </c>
      <c r="L191" s="22">
        <v>506.4</v>
      </c>
      <c r="M191" s="7">
        <f t="shared" si="61"/>
        <v>1</v>
      </c>
      <c r="N191">
        <v>102526.946562</v>
      </c>
      <c r="O191" s="11">
        <f t="shared" si="62"/>
        <v>0</v>
      </c>
      <c r="P191" s="11">
        <f t="shared" si="63"/>
        <v>9.9963636964060494E-5</v>
      </c>
      <c r="Q191" s="22">
        <v>640.14682555198669</v>
      </c>
      <c r="R191" s="7">
        <f t="shared" si="58"/>
        <v>1</v>
      </c>
      <c r="S191">
        <v>102526.9465620001</v>
      </c>
      <c r="T191" s="11">
        <f t="shared" si="59"/>
        <v>9.9352814078949686E-16</v>
      </c>
      <c r="U191" s="11">
        <f t="shared" si="60"/>
        <v>9.9963636965054125E-5</v>
      </c>
      <c r="V191" s="22">
        <v>684.9509654045105</v>
      </c>
    </row>
    <row r="192" spans="1:22" x14ac:dyDescent="0.35">
      <c r="A192" s="14" t="s">
        <v>182</v>
      </c>
      <c r="B192" s="13" t="s">
        <v>566</v>
      </c>
      <c r="C192" s="13" t="s">
        <v>579</v>
      </c>
      <c r="D192" s="13">
        <v>1000</v>
      </c>
      <c r="E192" s="13">
        <v>1000</v>
      </c>
      <c r="F192">
        <f t="shared" si="47"/>
        <v>98362.925331000006</v>
      </c>
      <c r="G192" s="15">
        <v>98353.213003205572</v>
      </c>
      <c r="H192" s="7">
        <f t="shared" si="48"/>
        <v>1</v>
      </c>
      <c r="I192">
        <v>98362.925331000268</v>
      </c>
      <c r="J192" s="11">
        <f t="shared" si="49"/>
        <v>2.6629390416070943E-15</v>
      </c>
      <c r="K192" s="11">
        <f t="shared" si="50"/>
        <v>9.8749471401398859E-5</v>
      </c>
      <c r="L192" s="22">
        <v>462.3</v>
      </c>
      <c r="M192" s="7">
        <f t="shared" si="61"/>
        <v>1</v>
      </c>
      <c r="N192">
        <v>98362.925331000006</v>
      </c>
      <c r="O192" s="11">
        <f t="shared" si="62"/>
        <v>0</v>
      </c>
      <c r="P192" s="11">
        <f t="shared" si="63"/>
        <v>9.8749471398735652E-5</v>
      </c>
      <c r="Q192" s="22">
        <v>807.64823055267334</v>
      </c>
      <c r="R192" s="7">
        <f t="shared" si="58"/>
        <v>1</v>
      </c>
      <c r="S192">
        <v>98362.925331000006</v>
      </c>
      <c r="T192" s="11">
        <f t="shared" si="59"/>
        <v>0</v>
      </c>
      <c r="U192" s="11">
        <f t="shared" si="60"/>
        <v>9.8749471398735652E-5</v>
      </c>
      <c r="V192" s="22">
        <v>651.79955196380615</v>
      </c>
    </row>
    <row r="193" spans="1:22" x14ac:dyDescent="0.35">
      <c r="A193" s="14" t="s">
        <v>183</v>
      </c>
      <c r="B193" s="13" t="s">
        <v>566</v>
      </c>
      <c r="C193" s="13" t="s">
        <v>579</v>
      </c>
      <c r="D193" s="13">
        <v>1000</v>
      </c>
      <c r="E193" s="13">
        <v>1000</v>
      </c>
      <c r="F193">
        <f t="shared" si="47"/>
        <v>100559.016839</v>
      </c>
      <c r="G193" s="15">
        <v>100552.6989308918</v>
      </c>
      <c r="H193" s="7">
        <f t="shared" si="48"/>
        <v>1</v>
      </c>
      <c r="I193">
        <v>100562.754457</v>
      </c>
      <c r="J193" s="11">
        <f t="shared" si="49"/>
        <v>3.7168402371945564E-5</v>
      </c>
      <c r="K193" s="11">
        <f t="shared" si="50"/>
        <v>1.000025480680086E-4</v>
      </c>
      <c r="L193" s="22">
        <v>645.29999999999995</v>
      </c>
      <c r="M193" s="7">
        <f t="shared" si="61"/>
        <v>1</v>
      </c>
      <c r="N193">
        <v>100559.016839</v>
      </c>
      <c r="O193" s="11">
        <f t="shared" si="62"/>
        <v>0</v>
      </c>
      <c r="P193" s="11">
        <f t="shared" si="63"/>
        <v>6.2831810338054628E-5</v>
      </c>
      <c r="Q193" s="22">
        <v>1509.167054176331</v>
      </c>
      <c r="R193" s="7">
        <f t="shared" si="58"/>
        <v>1</v>
      </c>
      <c r="S193">
        <v>100561.6638229995</v>
      </c>
      <c r="T193" s="11">
        <f t="shared" si="59"/>
        <v>2.6322691715800859E-5</v>
      </c>
      <c r="U193" s="11">
        <f t="shared" si="60"/>
        <v>8.9156155956228954E-5</v>
      </c>
      <c r="V193" s="22">
        <v>1166.343851804733</v>
      </c>
    </row>
    <row r="194" spans="1:22" x14ac:dyDescent="0.35">
      <c r="A194" s="14" t="s">
        <v>184</v>
      </c>
      <c r="B194" s="13" t="s">
        <v>566</v>
      </c>
      <c r="C194" s="13" t="s">
        <v>579</v>
      </c>
      <c r="D194" s="13">
        <v>1000</v>
      </c>
      <c r="E194" s="13">
        <v>1000</v>
      </c>
      <c r="F194">
        <f t="shared" ref="F194:F257" si="64">MIN(I194,N194,S194)</f>
        <v>106174.951858</v>
      </c>
      <c r="G194" s="15">
        <v>106164.40665857081</v>
      </c>
      <c r="H194" s="7">
        <f t="shared" ref="H194:H257" si="65">IF(J194&lt;=0.0001,1,0)</f>
        <v>1</v>
      </c>
      <c r="I194">
        <v>106174.9518580002</v>
      </c>
      <c r="J194" s="11">
        <f t="shared" ref="J194:J257" si="66">(I194-$F194)/$F194</f>
        <v>1.9187841353542901E-15</v>
      </c>
      <c r="K194" s="11">
        <f t="shared" ref="K194:K257" si="67">(I194-$G194)/$G194</f>
        <v>9.9328953660635604E-5</v>
      </c>
      <c r="L194" s="22">
        <v>535.4</v>
      </c>
      <c r="M194" s="7">
        <f t="shared" si="61"/>
        <v>1</v>
      </c>
      <c r="N194">
        <v>106174.951858</v>
      </c>
      <c r="O194" s="11">
        <f t="shared" si="62"/>
        <v>0</v>
      </c>
      <c r="P194" s="11">
        <f t="shared" si="63"/>
        <v>9.9328953658716634E-5</v>
      </c>
      <c r="Q194" s="22">
        <v>801.17411589622498</v>
      </c>
      <c r="R194" s="7">
        <f t="shared" si="58"/>
        <v>1</v>
      </c>
      <c r="S194">
        <v>106174.951858</v>
      </c>
      <c r="T194" s="11">
        <f t="shared" si="59"/>
        <v>0</v>
      </c>
      <c r="U194" s="11">
        <f t="shared" si="60"/>
        <v>9.9328953658716634E-5</v>
      </c>
      <c r="V194" s="22">
        <v>961.16156697273254</v>
      </c>
    </row>
    <row r="195" spans="1:22" x14ac:dyDescent="0.35">
      <c r="A195" s="14" t="s">
        <v>186</v>
      </c>
      <c r="B195" s="13" t="s">
        <v>566</v>
      </c>
      <c r="C195" s="13" t="s">
        <v>579</v>
      </c>
      <c r="D195" s="13">
        <v>1000</v>
      </c>
      <c r="E195" s="13">
        <v>1000</v>
      </c>
      <c r="F195">
        <f t="shared" si="64"/>
        <v>100811.036542</v>
      </c>
      <c r="G195" s="15">
        <v>100801.2763389605</v>
      </c>
      <c r="H195" s="7">
        <f t="shared" si="65"/>
        <v>1</v>
      </c>
      <c r="I195">
        <v>100811.036542</v>
      </c>
      <c r="J195" s="11">
        <f t="shared" si="66"/>
        <v>0</v>
      </c>
      <c r="K195" s="11">
        <f t="shared" si="67"/>
        <v>9.6826185084067766E-5</v>
      </c>
      <c r="L195" s="22">
        <v>622.20000000000005</v>
      </c>
      <c r="M195" s="7">
        <f t="shared" si="61"/>
        <v>1</v>
      </c>
      <c r="N195">
        <v>100811.036542</v>
      </c>
      <c r="O195" s="11">
        <f t="shared" si="62"/>
        <v>0</v>
      </c>
      <c r="P195" s="11">
        <f t="shared" si="63"/>
        <v>9.6826185084067766E-5</v>
      </c>
      <c r="Q195" s="22">
        <v>2032.414774417877</v>
      </c>
      <c r="R195" s="7">
        <f t="shared" si="58"/>
        <v>1</v>
      </c>
      <c r="S195">
        <v>100811.036542</v>
      </c>
      <c r="T195" s="11">
        <f t="shared" si="59"/>
        <v>0</v>
      </c>
      <c r="U195" s="11">
        <f t="shared" si="60"/>
        <v>9.6826185084067766E-5</v>
      </c>
      <c r="V195" s="22">
        <v>819.88325381278992</v>
      </c>
    </row>
    <row r="196" spans="1:22" x14ac:dyDescent="0.35">
      <c r="A196" s="14" t="s">
        <v>240</v>
      </c>
      <c r="B196" s="13" t="s">
        <v>571</v>
      </c>
      <c r="C196" s="13" t="s">
        <v>579</v>
      </c>
      <c r="D196" s="13">
        <v>1000</v>
      </c>
      <c r="E196" s="13">
        <v>4000</v>
      </c>
      <c r="F196">
        <f t="shared" si="64"/>
        <v>1270355.8194530001</v>
      </c>
      <c r="G196" s="15">
        <v>1183225.2251750049</v>
      </c>
      <c r="H196" s="7">
        <f t="shared" si="65"/>
        <v>0</v>
      </c>
      <c r="I196">
        <v>1278373.777983</v>
      </c>
      <c r="J196" s="11">
        <f t="shared" si="66"/>
        <v>6.3115848388464752E-3</v>
      </c>
      <c r="K196" s="11">
        <f t="shared" si="67"/>
        <v>8.0414574320727628E-2</v>
      </c>
      <c r="L196" s="22">
        <v>7202</v>
      </c>
      <c r="M196" s="7" t="s">
        <v>561</v>
      </c>
      <c r="N196" t="s">
        <v>561</v>
      </c>
      <c r="O196" t="s">
        <v>561</v>
      </c>
      <c r="P196" t="s">
        <v>561</v>
      </c>
      <c r="Q196" s="24" t="s">
        <v>561</v>
      </c>
      <c r="R196" s="7">
        <f t="shared" si="58"/>
        <v>1</v>
      </c>
      <c r="S196">
        <v>1270355.8194530001</v>
      </c>
      <c r="T196" s="11">
        <f t="shared" si="59"/>
        <v>0</v>
      </c>
      <c r="U196" s="11">
        <f t="shared" si="60"/>
        <v>7.3638215636510046E-2</v>
      </c>
      <c r="V196" s="22">
        <v>7232.8381745815277</v>
      </c>
    </row>
    <row r="197" spans="1:22" x14ac:dyDescent="0.35">
      <c r="A197" s="14" t="s">
        <v>241</v>
      </c>
      <c r="B197" s="13" t="s">
        <v>571</v>
      </c>
      <c r="C197" s="13" t="s">
        <v>579</v>
      </c>
      <c r="D197" s="13">
        <v>1000</v>
      </c>
      <c r="E197" s="13">
        <v>4000</v>
      </c>
      <c r="F197">
        <f t="shared" si="64"/>
        <v>1252001.946282001</v>
      </c>
      <c r="G197" s="15">
        <v>1166566.7956030199</v>
      </c>
      <c r="H197" s="7">
        <f t="shared" si="65"/>
        <v>1</v>
      </c>
      <c r="I197">
        <v>1252001.946282001</v>
      </c>
      <c r="J197" s="11">
        <f t="shared" si="66"/>
        <v>0</v>
      </c>
      <c r="K197" s="11">
        <f t="shared" si="67"/>
        <v>7.3236398465137256E-2</v>
      </c>
      <c r="L197" s="22">
        <v>7202.5</v>
      </c>
      <c r="M197" s="7" t="s">
        <v>561</v>
      </c>
      <c r="N197" t="s">
        <v>561</v>
      </c>
      <c r="O197" t="s">
        <v>561</v>
      </c>
      <c r="P197" t="s">
        <v>561</v>
      </c>
      <c r="Q197" s="24" t="s">
        <v>561</v>
      </c>
      <c r="R197" s="7">
        <f t="shared" si="58"/>
        <v>0</v>
      </c>
      <c r="S197">
        <v>1255258.307153</v>
      </c>
      <c r="T197" s="11">
        <f t="shared" si="59"/>
        <v>2.6009231700232422E-3</v>
      </c>
      <c r="U197" s="11">
        <f t="shared" si="60"/>
        <v>7.6027803880817535E-2</v>
      </c>
      <c r="V197" s="22">
        <v>7234.2328915596008</v>
      </c>
    </row>
    <row r="198" spans="1:22" x14ac:dyDescent="0.35">
      <c r="A198" s="14" t="s">
        <v>242</v>
      </c>
      <c r="B198" s="13" t="s">
        <v>571</v>
      </c>
      <c r="C198" s="13" t="s">
        <v>579</v>
      </c>
      <c r="D198" s="13">
        <v>1000</v>
      </c>
      <c r="E198" s="13">
        <v>4000</v>
      </c>
      <c r="F198">
        <f t="shared" si="64"/>
        <v>1221986.6754960001</v>
      </c>
      <c r="G198" s="15">
        <v>1147963.556924646</v>
      </c>
      <c r="H198" s="7">
        <f t="shared" si="65"/>
        <v>1</v>
      </c>
      <c r="I198">
        <v>1221986.6754960001</v>
      </c>
      <c r="J198" s="11">
        <f t="shared" si="66"/>
        <v>0</v>
      </c>
      <c r="K198" s="11">
        <f t="shared" si="67"/>
        <v>6.4482115416328548E-2</v>
      </c>
      <c r="L198" s="22">
        <v>7202.3</v>
      </c>
      <c r="M198" s="7" t="s">
        <v>561</v>
      </c>
      <c r="N198" t="s">
        <v>561</v>
      </c>
      <c r="O198" t="s">
        <v>561</v>
      </c>
      <c r="P198" t="s">
        <v>561</v>
      </c>
      <c r="Q198" s="24" t="s">
        <v>561</v>
      </c>
      <c r="R198" s="7">
        <f t="shared" si="58"/>
        <v>0</v>
      </c>
      <c r="S198">
        <v>1227244.5900030001</v>
      </c>
      <c r="T198" s="11">
        <f t="shared" si="59"/>
        <v>4.3027592791597662E-3</v>
      </c>
      <c r="U198" s="11">
        <f t="shared" si="60"/>
        <v>6.9062325715935777E-2</v>
      </c>
      <c r="V198" s="22">
        <v>7231.263739824295</v>
      </c>
    </row>
    <row r="199" spans="1:22" x14ac:dyDescent="0.35">
      <c r="A199" s="14" t="s">
        <v>243</v>
      </c>
      <c r="B199" s="13" t="s">
        <v>571</v>
      </c>
      <c r="C199" s="13" t="s">
        <v>579</v>
      </c>
      <c r="D199" s="13">
        <v>1000</v>
      </c>
      <c r="E199" s="13">
        <v>4000</v>
      </c>
      <c r="F199">
        <f t="shared" si="64"/>
        <v>1187647.345983</v>
      </c>
      <c r="G199" s="15">
        <v>1114307.4587244641</v>
      </c>
      <c r="H199" s="7">
        <f t="shared" si="65"/>
        <v>0</v>
      </c>
      <c r="I199">
        <v>1191250.8475269999</v>
      </c>
      <c r="J199" s="11">
        <f t="shared" si="66"/>
        <v>3.0341511360153059E-3</v>
      </c>
      <c r="K199" s="11">
        <f t="shared" si="67"/>
        <v>6.9050411715463264E-2</v>
      </c>
      <c r="L199" s="22">
        <v>7202.6</v>
      </c>
      <c r="M199" s="7" t="s">
        <v>561</v>
      </c>
      <c r="N199" t="s">
        <v>561</v>
      </c>
      <c r="O199" t="s">
        <v>561</v>
      </c>
      <c r="P199" t="s">
        <v>561</v>
      </c>
      <c r="Q199" s="24" t="s">
        <v>561</v>
      </c>
      <c r="R199" s="7">
        <f t="shared" si="58"/>
        <v>1</v>
      </c>
      <c r="S199">
        <v>1187647.345983</v>
      </c>
      <c r="T199" s="11">
        <f t="shared" si="59"/>
        <v>0</v>
      </c>
      <c r="U199" s="11">
        <f t="shared" si="60"/>
        <v>6.5816563179508236E-2</v>
      </c>
      <c r="V199" s="22">
        <v>7243.6539053916931</v>
      </c>
    </row>
    <row r="200" spans="1:22" x14ac:dyDescent="0.35">
      <c r="A200" s="14" t="s">
        <v>244</v>
      </c>
      <c r="B200" s="13" t="s">
        <v>571</v>
      </c>
      <c r="C200" s="13" t="s">
        <v>579</v>
      </c>
      <c r="D200" s="13">
        <v>1000</v>
      </c>
      <c r="E200" s="13">
        <v>4000</v>
      </c>
      <c r="F200">
        <f t="shared" si="64"/>
        <v>1276071.2163879999</v>
      </c>
      <c r="G200" s="15">
        <v>1193904.4688877219</v>
      </c>
      <c r="H200" s="7">
        <f t="shared" si="65"/>
        <v>0</v>
      </c>
      <c r="I200">
        <v>1279764.080433001</v>
      </c>
      <c r="J200" s="11">
        <f t="shared" si="66"/>
        <v>2.8939325623643366E-3</v>
      </c>
      <c r="K200" s="11">
        <f t="shared" si="67"/>
        <v>7.1914976267128478E-2</v>
      </c>
      <c r="L200" s="22">
        <v>7202.3</v>
      </c>
      <c r="M200" s="7" t="s">
        <v>561</v>
      </c>
      <c r="N200" t="s">
        <v>561</v>
      </c>
      <c r="O200" t="s">
        <v>561</v>
      </c>
      <c r="P200" t="s">
        <v>561</v>
      </c>
      <c r="Q200" s="24" t="s">
        <v>561</v>
      </c>
      <c r="R200" s="7">
        <f t="shared" si="58"/>
        <v>1</v>
      </c>
      <c r="S200">
        <v>1276071.2163879999</v>
      </c>
      <c r="T200" s="11">
        <f t="shared" si="59"/>
        <v>0</v>
      </c>
      <c r="U200" s="11">
        <f t="shared" si="60"/>
        <v>6.8821877831504494E-2</v>
      </c>
      <c r="V200" s="22">
        <v>7242.9026908874512</v>
      </c>
    </row>
    <row r="201" spans="1:22" x14ac:dyDescent="0.35">
      <c r="A201" s="14" t="s">
        <v>245</v>
      </c>
      <c r="B201" s="13" t="s">
        <v>571</v>
      </c>
      <c r="C201" s="13" t="s">
        <v>579</v>
      </c>
      <c r="D201" s="13">
        <v>1000</v>
      </c>
      <c r="E201" s="13">
        <v>4000</v>
      </c>
      <c r="F201">
        <f t="shared" si="64"/>
        <v>797082.08794299944</v>
      </c>
      <c r="G201" s="15">
        <v>761198.53290301911</v>
      </c>
      <c r="H201" s="7">
        <f t="shared" si="65"/>
        <v>0</v>
      </c>
      <c r="I201">
        <v>831601.92409799923</v>
      </c>
      <c r="J201" s="11">
        <f t="shared" si="66"/>
        <v>4.3307755471063053E-2</v>
      </c>
      <c r="K201" s="11">
        <f t="shared" si="67"/>
        <v>9.2490182458023609E-2</v>
      </c>
      <c r="L201" s="22">
        <v>2404.1079640388489</v>
      </c>
      <c r="M201" s="7">
        <f t="shared" ref="M201:M227" si="68">IF(O201&lt;=0.0001,1,0)</f>
        <v>1</v>
      </c>
      <c r="N201">
        <v>797082.08794299944</v>
      </c>
      <c r="O201" s="11">
        <f t="shared" ref="O201:O227" si="69">(N201-$F201)/$F201</f>
        <v>0</v>
      </c>
      <c r="P201" s="11">
        <f t="shared" ref="P201:P227" si="70">(N201-$G201)/$G201</f>
        <v>4.7140862060163873E-2</v>
      </c>
      <c r="Q201" s="22">
        <v>7223.3825724124908</v>
      </c>
      <c r="R201" s="7">
        <f t="shared" si="58"/>
        <v>0</v>
      </c>
      <c r="S201">
        <v>805721.92446099955</v>
      </c>
      <c r="T201" s="11">
        <f t="shared" si="59"/>
        <v>1.0839330915460191E-2</v>
      </c>
      <c r="U201" s="11">
        <f t="shared" si="60"/>
        <v>5.8491168379134241E-2</v>
      </c>
      <c r="V201" s="22">
        <v>3516.6558585166931</v>
      </c>
    </row>
    <row r="202" spans="1:22" x14ac:dyDescent="0.35">
      <c r="A202" s="14" t="s">
        <v>246</v>
      </c>
      <c r="B202" s="13" t="s">
        <v>571</v>
      </c>
      <c r="C202" s="13" t="s">
        <v>579</v>
      </c>
      <c r="D202" s="13">
        <v>1000</v>
      </c>
      <c r="E202" s="13">
        <v>4000</v>
      </c>
      <c r="F202">
        <f t="shared" si="64"/>
        <v>779257.25075299945</v>
      </c>
      <c r="G202" s="15">
        <v>742655.44057870551</v>
      </c>
      <c r="H202" s="7">
        <f t="shared" si="65"/>
        <v>0</v>
      </c>
      <c r="I202">
        <v>791689.49299599929</v>
      </c>
      <c r="J202" s="11">
        <f t="shared" si="66"/>
        <v>1.5953964151102239E-2</v>
      </c>
      <c r="K202" s="11">
        <f t="shared" si="67"/>
        <v>6.6025305596744258E-2</v>
      </c>
      <c r="L202" s="22">
        <v>3314.1096029281621</v>
      </c>
      <c r="M202" s="7">
        <f t="shared" si="68"/>
        <v>1</v>
      </c>
      <c r="N202">
        <v>779257.25075299945</v>
      </c>
      <c r="O202" s="11">
        <f t="shared" si="69"/>
        <v>0</v>
      </c>
      <c r="P202" s="11">
        <f t="shared" si="70"/>
        <v>4.9285049532219682E-2</v>
      </c>
      <c r="Q202" s="22">
        <v>7220.8593354225159</v>
      </c>
      <c r="R202" s="7">
        <f t="shared" si="58"/>
        <v>0</v>
      </c>
      <c r="S202">
        <v>789466.93314799946</v>
      </c>
      <c r="T202" s="11">
        <f t="shared" si="59"/>
        <v>1.3101812508172819E-2</v>
      </c>
      <c r="U202" s="11">
        <f t="shared" si="60"/>
        <v>6.3032585518819656E-2</v>
      </c>
      <c r="V202" s="22">
        <v>7260.0523142814636</v>
      </c>
    </row>
    <row r="203" spans="1:22" x14ac:dyDescent="0.35">
      <c r="A203" s="14" t="s">
        <v>247</v>
      </c>
      <c r="B203" s="13" t="s">
        <v>571</v>
      </c>
      <c r="C203" s="13" t="s">
        <v>579</v>
      </c>
      <c r="D203" s="13">
        <v>1000</v>
      </c>
      <c r="E203" s="13">
        <v>4000</v>
      </c>
      <c r="F203">
        <f t="shared" si="64"/>
        <v>781624.35926199961</v>
      </c>
      <c r="G203" s="15">
        <v>750954.66061486711</v>
      </c>
      <c r="H203" s="7">
        <f t="shared" si="65"/>
        <v>0</v>
      </c>
      <c r="I203">
        <v>799828.35270499974</v>
      </c>
      <c r="J203" s="11">
        <f t="shared" si="66"/>
        <v>2.3289951531434004E-2</v>
      </c>
      <c r="K203" s="11">
        <f t="shared" si="67"/>
        <v>6.5082081054155513E-2</v>
      </c>
      <c r="L203" s="22">
        <v>3100.7548038959499</v>
      </c>
      <c r="M203" s="7">
        <f t="shared" si="68"/>
        <v>0</v>
      </c>
      <c r="N203">
        <v>785157.5238259997</v>
      </c>
      <c r="O203" s="11">
        <f t="shared" si="69"/>
        <v>4.5202846125932733E-3</v>
      </c>
      <c r="P203" s="11">
        <f t="shared" si="70"/>
        <v>4.554584318463107E-2</v>
      </c>
      <c r="Q203" s="22">
        <v>5473.9053978919901</v>
      </c>
      <c r="R203" s="7">
        <f t="shared" si="58"/>
        <v>1</v>
      </c>
      <c r="S203">
        <v>781624.35926199961</v>
      </c>
      <c r="T203" s="11">
        <f t="shared" si="59"/>
        <v>0</v>
      </c>
      <c r="U203" s="11">
        <f t="shared" si="60"/>
        <v>4.0840945872845022E-2</v>
      </c>
      <c r="V203" s="22">
        <v>3536.798618555069</v>
      </c>
    </row>
    <row r="204" spans="1:22" x14ac:dyDescent="0.35">
      <c r="A204" s="14" t="s">
        <v>248</v>
      </c>
      <c r="B204" s="13" t="s">
        <v>571</v>
      </c>
      <c r="C204" s="13" t="s">
        <v>579</v>
      </c>
      <c r="D204" s="13">
        <v>1000</v>
      </c>
      <c r="E204" s="13">
        <v>4000</v>
      </c>
      <c r="F204">
        <f t="shared" si="64"/>
        <v>800628.18926799973</v>
      </c>
      <c r="G204" s="15">
        <v>762602.73995606531</v>
      </c>
      <c r="H204" s="7">
        <f t="shared" si="65"/>
        <v>0</v>
      </c>
      <c r="I204">
        <v>809717.6681029998</v>
      </c>
      <c r="J204" s="11">
        <f t="shared" si="66"/>
        <v>1.1352933804779501E-2</v>
      </c>
      <c r="K204" s="11">
        <f t="shared" si="67"/>
        <v>6.1781745171344188E-2</v>
      </c>
      <c r="L204" s="22">
        <v>2738.336976051331</v>
      </c>
      <c r="M204" s="7">
        <f t="shared" si="68"/>
        <v>0</v>
      </c>
      <c r="N204">
        <v>805520.67335000006</v>
      </c>
      <c r="O204" s="11">
        <f t="shared" si="69"/>
        <v>6.1108066735364921E-3</v>
      </c>
      <c r="P204" s="11">
        <f t="shared" si="70"/>
        <v>5.6278231306128412E-2</v>
      </c>
      <c r="Q204" s="22">
        <v>2495.2934119701299</v>
      </c>
      <c r="R204" s="7">
        <f t="shared" si="58"/>
        <v>1</v>
      </c>
      <c r="S204">
        <v>800628.18926799973</v>
      </c>
      <c r="T204" s="11">
        <f t="shared" si="59"/>
        <v>0</v>
      </c>
      <c r="U204" s="11">
        <f t="shared" si="60"/>
        <v>4.98627231710774E-2</v>
      </c>
      <c r="V204" s="22">
        <v>3507.858528137207</v>
      </c>
    </row>
    <row r="205" spans="1:22" x14ac:dyDescent="0.35">
      <c r="A205" s="14" t="s">
        <v>250</v>
      </c>
      <c r="B205" s="13" t="s">
        <v>571</v>
      </c>
      <c r="C205" s="13" t="s">
        <v>579</v>
      </c>
      <c r="D205" s="13">
        <v>1000</v>
      </c>
      <c r="E205" s="13">
        <v>4000</v>
      </c>
      <c r="F205">
        <f t="shared" si="64"/>
        <v>789397.32529499964</v>
      </c>
      <c r="G205" s="15">
        <v>756284.03735500283</v>
      </c>
      <c r="H205" s="7">
        <f t="shared" si="65"/>
        <v>0</v>
      </c>
      <c r="I205">
        <v>805450.34503199975</v>
      </c>
      <c r="J205" s="11">
        <f t="shared" si="66"/>
        <v>2.0335791904287311E-2</v>
      </c>
      <c r="K205" s="11">
        <f t="shared" si="67"/>
        <v>6.5010373415984257E-2</v>
      </c>
      <c r="L205" s="22">
        <v>3185.4838149547581</v>
      </c>
      <c r="M205" s="7">
        <f t="shared" si="68"/>
        <v>1</v>
      </c>
      <c r="N205">
        <v>789397.32529499964</v>
      </c>
      <c r="O205" s="11">
        <f t="shared" si="69"/>
        <v>0</v>
      </c>
      <c r="P205" s="11">
        <f t="shared" si="70"/>
        <v>4.378419522882683E-2</v>
      </c>
      <c r="Q205" s="22">
        <v>5501.69851279257</v>
      </c>
      <c r="R205" s="7">
        <f t="shared" si="58"/>
        <v>0</v>
      </c>
      <c r="S205">
        <v>795044.29345599958</v>
      </c>
      <c r="T205" s="11">
        <f t="shared" si="59"/>
        <v>7.1535182347997614E-3</v>
      </c>
      <c r="U205" s="11">
        <f t="shared" si="60"/>
        <v>5.1250924502592041E-2</v>
      </c>
      <c r="V205" s="22">
        <v>3506.6772377490997</v>
      </c>
    </row>
    <row r="206" spans="1:22" x14ac:dyDescent="0.35">
      <c r="A206" s="14" t="s">
        <v>251</v>
      </c>
      <c r="B206" s="13" t="s">
        <v>571</v>
      </c>
      <c r="C206" s="13" t="s">
        <v>579</v>
      </c>
      <c r="D206" s="13">
        <v>1000</v>
      </c>
      <c r="E206" s="13">
        <v>4000</v>
      </c>
      <c r="F206">
        <f t="shared" si="64"/>
        <v>575591.11678199982</v>
      </c>
      <c r="G206" s="15">
        <v>562304.18057558616</v>
      </c>
      <c r="H206" s="7">
        <f t="shared" si="65"/>
        <v>0</v>
      </c>
      <c r="I206">
        <v>589221.83538199984</v>
      </c>
      <c r="J206" s="11">
        <f t="shared" si="66"/>
        <v>2.3681252546436604E-2</v>
      </c>
      <c r="K206" s="11">
        <f t="shared" si="67"/>
        <v>4.7870273308052276E-2</v>
      </c>
      <c r="L206" s="22">
        <v>1778.002350091934</v>
      </c>
      <c r="M206" s="7">
        <f t="shared" si="68"/>
        <v>1</v>
      </c>
      <c r="N206">
        <v>575591.11678199982</v>
      </c>
      <c r="O206" s="11">
        <f t="shared" si="69"/>
        <v>0</v>
      </c>
      <c r="P206" s="11">
        <f t="shared" si="70"/>
        <v>2.3629445886055631E-2</v>
      </c>
      <c r="Q206" s="22">
        <v>7226.2557077407837</v>
      </c>
      <c r="R206" s="7">
        <f t="shared" si="58"/>
        <v>0</v>
      </c>
      <c r="S206">
        <v>580008.36159099964</v>
      </c>
      <c r="T206" s="11">
        <f t="shared" si="59"/>
        <v>7.6742755060148276E-3</v>
      </c>
      <c r="U206" s="11">
        <f t="shared" si="60"/>
        <v>3.1485060269854516E-2</v>
      </c>
      <c r="V206" s="22">
        <v>7224.2618250846863</v>
      </c>
    </row>
    <row r="207" spans="1:22" x14ac:dyDescent="0.35">
      <c r="A207" s="14" t="s">
        <v>252</v>
      </c>
      <c r="B207" s="13" t="s">
        <v>571</v>
      </c>
      <c r="C207" s="13" t="s">
        <v>579</v>
      </c>
      <c r="D207" s="13">
        <v>1000</v>
      </c>
      <c r="E207" s="13">
        <v>4000</v>
      </c>
      <c r="F207">
        <f t="shared" si="64"/>
        <v>582169.88795749727</v>
      </c>
      <c r="G207" s="15">
        <v>566770.62939916353</v>
      </c>
      <c r="H207" s="7">
        <f t="shared" si="65"/>
        <v>0</v>
      </c>
      <c r="I207">
        <v>596394.68783749733</v>
      </c>
      <c r="J207" s="11">
        <f t="shared" si="66"/>
        <v>2.4434104501534406E-2</v>
      </c>
      <c r="K207" s="11">
        <f t="shared" si="67"/>
        <v>5.2268160877952365E-2</v>
      </c>
      <c r="L207" s="22">
        <v>1876.219881057739</v>
      </c>
      <c r="M207" s="7">
        <f t="shared" si="68"/>
        <v>1</v>
      </c>
      <c r="N207">
        <v>582169.88795749727</v>
      </c>
      <c r="O207" s="11">
        <f t="shared" si="69"/>
        <v>0</v>
      </c>
      <c r="P207" s="11">
        <f t="shared" si="70"/>
        <v>2.7170177421964453E-2</v>
      </c>
      <c r="Q207" s="22">
        <v>7216.5233891010284</v>
      </c>
      <c r="R207" s="7">
        <f t="shared" si="58"/>
        <v>0</v>
      </c>
      <c r="S207">
        <v>588442.83974599943</v>
      </c>
      <c r="T207" s="11">
        <f t="shared" si="59"/>
        <v>1.0775122379672333E-2</v>
      </c>
      <c r="U207" s="11">
        <f t="shared" si="60"/>
        <v>3.8238061788435862E-2</v>
      </c>
      <c r="V207" s="22">
        <v>7251.0540652275095</v>
      </c>
    </row>
    <row r="208" spans="1:22" x14ac:dyDescent="0.35">
      <c r="A208" s="14" t="s">
        <v>253</v>
      </c>
      <c r="B208" s="13" t="s">
        <v>571</v>
      </c>
      <c r="C208" s="13" t="s">
        <v>579</v>
      </c>
      <c r="D208" s="13">
        <v>1000</v>
      </c>
      <c r="E208" s="13">
        <v>4000</v>
      </c>
      <c r="F208">
        <f t="shared" si="64"/>
        <v>566951.00776299939</v>
      </c>
      <c r="G208" s="15">
        <v>551910.79478934989</v>
      </c>
      <c r="H208" s="7">
        <f t="shared" si="65"/>
        <v>0</v>
      </c>
      <c r="I208">
        <v>581000.71637899941</v>
      </c>
      <c r="J208" s="11">
        <f t="shared" si="66"/>
        <v>2.4781168784645976E-2</v>
      </c>
      <c r="K208" s="11">
        <f t="shared" si="67"/>
        <v>5.2707651062980906E-2</v>
      </c>
      <c r="L208" s="22">
        <v>1710.44343495369</v>
      </c>
      <c r="M208" s="7">
        <f t="shared" si="68"/>
        <v>0</v>
      </c>
      <c r="N208">
        <v>569915.32630899968</v>
      </c>
      <c r="O208" s="11">
        <f t="shared" si="69"/>
        <v>5.2285268134481385E-3</v>
      </c>
      <c r="P208" s="11">
        <f t="shared" si="70"/>
        <v>3.2622176789496658E-2</v>
      </c>
      <c r="Q208" s="22">
        <v>7223.0563206672668</v>
      </c>
      <c r="R208" s="7">
        <f t="shared" si="58"/>
        <v>1</v>
      </c>
      <c r="S208">
        <v>566951.00776299939</v>
      </c>
      <c r="T208" s="11">
        <f t="shared" si="59"/>
        <v>0</v>
      </c>
      <c r="U208" s="11">
        <f t="shared" si="60"/>
        <v>2.7251166521194713E-2</v>
      </c>
      <c r="V208" s="22">
        <v>7230.6292202472687</v>
      </c>
    </row>
    <row r="209" spans="1:22" x14ac:dyDescent="0.35">
      <c r="A209" s="14" t="s">
        <v>254</v>
      </c>
      <c r="B209" s="13" t="s">
        <v>571</v>
      </c>
      <c r="C209" s="13" t="s">
        <v>579</v>
      </c>
      <c r="D209" s="13">
        <v>1000</v>
      </c>
      <c r="E209" s="13">
        <v>4000</v>
      </c>
      <c r="F209">
        <f t="shared" si="64"/>
        <v>602336.06435099966</v>
      </c>
      <c r="G209" s="15">
        <v>586377.14035939856</v>
      </c>
      <c r="H209" s="7">
        <f t="shared" si="65"/>
        <v>0</v>
      </c>
      <c r="I209">
        <v>621251.37366599962</v>
      </c>
      <c r="J209" s="11">
        <f t="shared" si="66"/>
        <v>3.1403248841459765E-2</v>
      </c>
      <c r="K209" s="11">
        <f t="shared" si="67"/>
        <v>5.9474066954974009E-2</v>
      </c>
      <c r="L209" s="22">
        <v>2055.1363232135768</v>
      </c>
      <c r="M209" s="7">
        <f t="shared" si="68"/>
        <v>0</v>
      </c>
      <c r="N209">
        <v>605498.74332599971</v>
      </c>
      <c r="O209" s="11">
        <f t="shared" si="69"/>
        <v>5.2506883817553659E-3</v>
      </c>
      <c r="P209" s="11">
        <f t="shared" si="70"/>
        <v>3.2609734674993049E-2</v>
      </c>
      <c r="Q209" s="22">
        <v>7223.2464439868927</v>
      </c>
      <c r="R209" s="7">
        <f t="shared" si="58"/>
        <v>1</v>
      </c>
      <c r="S209">
        <v>602336.06435099966</v>
      </c>
      <c r="T209" s="11">
        <f t="shared" si="59"/>
        <v>0</v>
      </c>
      <c r="U209" s="11">
        <f t="shared" si="60"/>
        <v>2.7216142808397438E-2</v>
      </c>
      <c r="V209" s="22">
        <v>7239.7520551681519</v>
      </c>
    </row>
    <row r="210" spans="1:22" x14ac:dyDescent="0.35">
      <c r="A210" s="14" t="s">
        <v>255</v>
      </c>
      <c r="B210" s="13" t="s">
        <v>571</v>
      </c>
      <c r="C210" s="13" t="s">
        <v>579</v>
      </c>
      <c r="D210" s="13">
        <v>1000</v>
      </c>
      <c r="E210" s="13">
        <v>4000</v>
      </c>
      <c r="F210">
        <f t="shared" si="64"/>
        <v>580661.63158499985</v>
      </c>
      <c r="G210" s="15">
        <v>563357.85254755069</v>
      </c>
      <c r="H210" s="7">
        <f t="shared" si="65"/>
        <v>0</v>
      </c>
      <c r="I210">
        <v>597096.0757139998</v>
      </c>
      <c r="J210" s="11">
        <f t="shared" si="66"/>
        <v>2.8302962060950645E-2</v>
      </c>
      <c r="K210" s="11">
        <f t="shared" si="67"/>
        <v>5.9887730354484421E-2</v>
      </c>
      <c r="L210" s="22">
        <v>1768.9606170654299</v>
      </c>
      <c r="M210" s="7">
        <f t="shared" si="68"/>
        <v>1</v>
      </c>
      <c r="N210">
        <v>580661.63158499985</v>
      </c>
      <c r="O210" s="11">
        <f t="shared" si="69"/>
        <v>0</v>
      </c>
      <c r="P210" s="11">
        <f t="shared" si="70"/>
        <v>3.0715430625844732E-2</v>
      </c>
      <c r="Q210" s="22">
        <v>7236.8135480880737</v>
      </c>
      <c r="R210" s="7">
        <f t="shared" si="58"/>
        <v>0</v>
      </c>
      <c r="S210">
        <v>581985.89204199985</v>
      </c>
      <c r="T210" s="11">
        <f t="shared" si="59"/>
        <v>2.2806060965062155E-3</v>
      </c>
      <c r="U210" s="11">
        <f t="shared" si="60"/>
        <v>3.3066086520693067E-2</v>
      </c>
      <c r="V210" s="22">
        <v>7230.9361643791199</v>
      </c>
    </row>
    <row r="211" spans="1:22" x14ac:dyDescent="0.35">
      <c r="A211" s="14" t="s">
        <v>256</v>
      </c>
      <c r="B211" s="13" t="s">
        <v>571</v>
      </c>
      <c r="C211" s="13" t="s">
        <v>579</v>
      </c>
      <c r="D211" s="13">
        <v>1000</v>
      </c>
      <c r="E211" s="13">
        <v>4000</v>
      </c>
      <c r="F211">
        <f t="shared" si="64"/>
        <v>324016.59852000012</v>
      </c>
      <c r="G211" s="15">
        <v>320949.98037383793</v>
      </c>
      <c r="H211" s="7">
        <f t="shared" si="65"/>
        <v>0</v>
      </c>
      <c r="I211">
        <v>328914.96193300001</v>
      </c>
      <c r="J211" s="11">
        <f t="shared" si="66"/>
        <v>1.5117631119436441E-2</v>
      </c>
      <c r="K211" s="11">
        <f t="shared" si="67"/>
        <v>2.4816893741151161E-2</v>
      </c>
      <c r="L211" s="22">
        <v>2868.565904140472</v>
      </c>
      <c r="M211" s="7">
        <f t="shared" si="68"/>
        <v>1</v>
      </c>
      <c r="N211">
        <v>324019.10763099999</v>
      </c>
      <c r="O211" s="11">
        <f t="shared" si="69"/>
        <v>7.7437730392099816E-6</v>
      </c>
      <c r="P211" s="11">
        <f t="shared" si="70"/>
        <v>9.5626341948586175E-3</v>
      </c>
      <c r="Q211" s="22">
        <v>3954.6425280570902</v>
      </c>
      <c r="R211" s="7">
        <f t="shared" si="58"/>
        <v>1</v>
      </c>
      <c r="S211">
        <v>324016.59852000012</v>
      </c>
      <c r="T211" s="11">
        <f t="shared" si="59"/>
        <v>0</v>
      </c>
      <c r="U211" s="11">
        <f t="shared" si="60"/>
        <v>9.5548164314895306E-3</v>
      </c>
      <c r="V211" s="22">
        <v>7248.0993251800537</v>
      </c>
    </row>
    <row r="212" spans="1:22" x14ac:dyDescent="0.35">
      <c r="A212" s="14" t="s">
        <v>257</v>
      </c>
      <c r="B212" s="13" t="s">
        <v>571</v>
      </c>
      <c r="C212" s="13" t="s">
        <v>579</v>
      </c>
      <c r="D212" s="13">
        <v>1000</v>
      </c>
      <c r="E212" s="13">
        <v>4000</v>
      </c>
      <c r="F212">
        <f t="shared" si="64"/>
        <v>318849.05233699991</v>
      </c>
      <c r="G212" s="15">
        <v>316478.5856547755</v>
      </c>
      <c r="H212" s="7">
        <f t="shared" si="65"/>
        <v>0</v>
      </c>
      <c r="I212">
        <v>323183.13902099989</v>
      </c>
      <c r="J212" s="11">
        <f t="shared" si="66"/>
        <v>1.359291066488468E-2</v>
      </c>
      <c r="K212" s="11">
        <f t="shared" si="67"/>
        <v>2.1184856322436708E-2</v>
      </c>
      <c r="L212" s="22">
        <v>1778.70049905777</v>
      </c>
      <c r="M212" s="7">
        <f t="shared" si="68"/>
        <v>0</v>
      </c>
      <c r="N212">
        <v>318951.75820699998</v>
      </c>
      <c r="O212" s="11">
        <f t="shared" si="69"/>
        <v>3.2211439628652532E-4</v>
      </c>
      <c r="P212" s="11">
        <f t="shared" si="70"/>
        <v>7.8146600254410063E-3</v>
      </c>
      <c r="Q212" s="22">
        <v>7223.1857612133026</v>
      </c>
      <c r="R212" s="7">
        <f t="shared" si="58"/>
        <v>1</v>
      </c>
      <c r="S212">
        <v>318849.05233699991</v>
      </c>
      <c r="T212" s="11">
        <f t="shared" si="59"/>
        <v>0</v>
      </c>
      <c r="U212" s="11">
        <f t="shared" si="60"/>
        <v>7.4901329495013465E-3</v>
      </c>
      <c r="V212" s="22">
        <v>7239.175507068634</v>
      </c>
    </row>
    <row r="213" spans="1:22" x14ac:dyDescent="0.35">
      <c r="A213" s="14" t="s">
        <v>258</v>
      </c>
      <c r="B213" s="13" t="s">
        <v>571</v>
      </c>
      <c r="C213" s="13" t="s">
        <v>579</v>
      </c>
      <c r="D213" s="13">
        <v>1000</v>
      </c>
      <c r="E213" s="13">
        <v>4000</v>
      </c>
      <c r="F213">
        <f t="shared" si="64"/>
        <v>323168.2076169998</v>
      </c>
      <c r="G213" s="15">
        <v>319958.50050728029</v>
      </c>
      <c r="H213" s="7">
        <f t="shared" si="65"/>
        <v>0</v>
      </c>
      <c r="I213">
        <v>333684.00229999988</v>
      </c>
      <c r="J213" s="11">
        <f t="shared" si="66"/>
        <v>3.2539694298960191E-2</v>
      </c>
      <c r="K213" s="11">
        <f t="shared" si="67"/>
        <v>4.2897756337019963E-2</v>
      </c>
      <c r="L213" s="22">
        <v>1767.865085124969</v>
      </c>
      <c r="M213" s="7">
        <f t="shared" si="68"/>
        <v>0</v>
      </c>
      <c r="N213">
        <v>323583.50252199988</v>
      </c>
      <c r="O213" s="11">
        <f t="shared" si="69"/>
        <v>1.2850735165516611E-3</v>
      </c>
      <c r="P213" s="11">
        <f t="shared" si="70"/>
        <v>1.1329600585614406E-2</v>
      </c>
      <c r="Q213" s="22">
        <v>3979.9819433688999</v>
      </c>
      <c r="R213" s="7">
        <f t="shared" si="58"/>
        <v>1</v>
      </c>
      <c r="S213">
        <v>323168.2076169998</v>
      </c>
      <c r="T213" s="11">
        <f t="shared" si="59"/>
        <v>0</v>
      </c>
      <c r="U213" s="11">
        <f t="shared" si="60"/>
        <v>1.0031635679723039E-2</v>
      </c>
      <c r="V213" s="22">
        <v>7224.5230906009674</v>
      </c>
    </row>
    <row r="214" spans="1:22" x14ac:dyDescent="0.35">
      <c r="A214" s="14" t="s">
        <v>259</v>
      </c>
      <c r="B214" s="13" t="s">
        <v>571</v>
      </c>
      <c r="C214" s="13" t="s">
        <v>579</v>
      </c>
      <c r="D214" s="13">
        <v>1000</v>
      </c>
      <c r="E214" s="13">
        <v>4000</v>
      </c>
      <c r="F214">
        <f t="shared" si="64"/>
        <v>318545.13814499992</v>
      </c>
      <c r="G214" s="15">
        <v>316065.67352019221</v>
      </c>
      <c r="H214" s="7">
        <f t="shared" si="65"/>
        <v>0</v>
      </c>
      <c r="I214">
        <v>321670.13619100011</v>
      </c>
      <c r="J214" s="11">
        <f t="shared" si="66"/>
        <v>9.8102205050064704E-3</v>
      </c>
      <c r="K214" s="11">
        <f t="shared" si="67"/>
        <v>1.7731956173500298E-2</v>
      </c>
      <c r="L214" s="22">
        <v>2960.918573141098</v>
      </c>
      <c r="M214" s="7">
        <f t="shared" si="68"/>
        <v>1</v>
      </c>
      <c r="N214">
        <v>318568.00500100013</v>
      </c>
      <c r="O214" s="11">
        <f t="shared" si="69"/>
        <v>7.1785292763761142E-5</v>
      </c>
      <c r="P214" s="11">
        <f t="shared" si="70"/>
        <v>7.9171251118101936E-3</v>
      </c>
      <c r="Q214" s="22">
        <v>3677.1308691501499</v>
      </c>
      <c r="R214" s="7">
        <f t="shared" si="58"/>
        <v>1</v>
      </c>
      <c r="S214">
        <v>318545.13814499992</v>
      </c>
      <c r="T214" s="11">
        <f t="shared" si="59"/>
        <v>0</v>
      </c>
      <c r="U214" s="11">
        <f t="shared" si="60"/>
        <v>7.8447766794558314E-3</v>
      </c>
      <c r="V214" s="22">
        <v>7242.5827708244324</v>
      </c>
    </row>
    <row r="215" spans="1:22" x14ac:dyDescent="0.35">
      <c r="A215" s="14" t="s">
        <v>261</v>
      </c>
      <c r="B215" s="13" t="s">
        <v>571</v>
      </c>
      <c r="C215" s="13" t="s">
        <v>579</v>
      </c>
      <c r="D215" s="13">
        <v>1000</v>
      </c>
      <c r="E215" s="13">
        <v>4000</v>
      </c>
      <c r="F215">
        <f t="shared" si="64"/>
        <v>323559.39193299989</v>
      </c>
      <c r="G215" s="15">
        <v>320550.31921345182</v>
      </c>
      <c r="H215" s="7">
        <f t="shared" si="65"/>
        <v>0</v>
      </c>
      <c r="I215">
        <v>329386.63484999991</v>
      </c>
      <c r="J215" s="11">
        <f t="shared" si="66"/>
        <v>1.8009809210565844E-2</v>
      </c>
      <c r="K215" s="11">
        <f t="shared" si="67"/>
        <v>2.7566079666462809E-2</v>
      </c>
      <c r="L215" s="22">
        <v>3211.5409231185909</v>
      </c>
      <c r="M215" s="7">
        <f t="shared" si="68"/>
        <v>0</v>
      </c>
      <c r="N215">
        <v>323679.0575329999</v>
      </c>
      <c r="O215" s="11">
        <f t="shared" si="69"/>
        <v>3.6984121921204173E-4</v>
      </c>
      <c r="P215" s="11">
        <f t="shared" si="70"/>
        <v>9.760521615530442E-3</v>
      </c>
      <c r="Q215" s="22">
        <v>3769.5060293674301</v>
      </c>
      <c r="R215" s="7">
        <f t="shared" si="58"/>
        <v>1</v>
      </c>
      <c r="S215">
        <v>323559.39193299989</v>
      </c>
      <c r="T215" s="11">
        <f t="shared" si="59"/>
        <v>0</v>
      </c>
      <c r="U215" s="11">
        <f t="shared" si="60"/>
        <v>9.387208619637516E-3</v>
      </c>
      <c r="V215" s="22">
        <v>7254.0829606056213</v>
      </c>
    </row>
    <row r="216" spans="1:22" x14ac:dyDescent="0.35">
      <c r="A216" s="14" t="s">
        <v>262</v>
      </c>
      <c r="B216" s="13" t="s">
        <v>571</v>
      </c>
      <c r="C216" s="13" t="s">
        <v>579</v>
      </c>
      <c r="D216" s="13">
        <v>1000</v>
      </c>
      <c r="E216" s="13">
        <v>4000</v>
      </c>
      <c r="F216">
        <f t="shared" si="64"/>
        <v>289432.16495399969</v>
      </c>
      <c r="G216" s="15">
        <v>288545.248085926</v>
      </c>
      <c r="H216" s="7">
        <f t="shared" si="65"/>
        <v>0</v>
      </c>
      <c r="I216">
        <v>290839.79774299992</v>
      </c>
      <c r="J216" s="11">
        <f t="shared" si="66"/>
        <v>4.863429015306394E-3</v>
      </c>
      <c r="K216" s="11">
        <f t="shared" si="67"/>
        <v>7.9521311554942853E-3</v>
      </c>
      <c r="L216" s="22">
        <v>1330.893211126328</v>
      </c>
      <c r="M216" s="7">
        <f t="shared" si="68"/>
        <v>1</v>
      </c>
      <c r="N216">
        <v>289432.16495399969</v>
      </c>
      <c r="O216" s="11">
        <f t="shared" si="69"/>
        <v>0</v>
      </c>
      <c r="P216" s="11">
        <f t="shared" si="70"/>
        <v>3.0737531598842198E-3</v>
      </c>
      <c r="Q216" s="22">
        <v>6180.5440218448639</v>
      </c>
      <c r="R216" s="7">
        <f t="shared" si="58"/>
        <v>1</v>
      </c>
      <c r="S216">
        <v>289433.17885699979</v>
      </c>
      <c r="T216" s="11">
        <f t="shared" si="59"/>
        <v>3.5030764471603355E-6</v>
      </c>
      <c r="U216" s="11">
        <f t="shared" si="60"/>
        <v>3.0772670039236789E-3</v>
      </c>
      <c r="V216" s="22">
        <v>3697.0588026046762</v>
      </c>
    </row>
    <row r="217" spans="1:22" x14ac:dyDescent="0.35">
      <c r="A217" s="14" t="s">
        <v>263</v>
      </c>
      <c r="B217" s="13" t="s">
        <v>571</v>
      </c>
      <c r="C217" s="13" t="s">
        <v>579</v>
      </c>
      <c r="D217" s="13">
        <v>1000</v>
      </c>
      <c r="E217" s="13">
        <v>4000</v>
      </c>
      <c r="F217">
        <f t="shared" si="64"/>
        <v>284864.65563400008</v>
      </c>
      <c r="G217" s="15">
        <v>284100.1284027829</v>
      </c>
      <c r="H217" s="7">
        <f t="shared" si="65"/>
        <v>0</v>
      </c>
      <c r="I217">
        <v>286916.10477099998</v>
      </c>
      <c r="J217" s="11">
        <f t="shared" si="66"/>
        <v>7.2014870796594894E-3</v>
      </c>
      <c r="K217" s="11">
        <f t="shared" si="67"/>
        <v>9.9119151548736333E-3</v>
      </c>
      <c r="L217" s="22">
        <v>2060.9281408786769</v>
      </c>
      <c r="M217" s="7">
        <f t="shared" si="68"/>
        <v>1</v>
      </c>
      <c r="N217">
        <v>284864.65563400008</v>
      </c>
      <c r="O217" s="11">
        <f t="shared" si="69"/>
        <v>0</v>
      </c>
      <c r="P217" s="11">
        <f t="shared" si="70"/>
        <v>2.69104852403755E-3</v>
      </c>
      <c r="Q217" s="22">
        <v>6218.4305665493011</v>
      </c>
      <c r="R217" s="7">
        <f t="shared" si="58"/>
        <v>1</v>
      </c>
      <c r="S217">
        <v>284866.71493600012</v>
      </c>
      <c r="T217" s="11">
        <f t="shared" si="59"/>
        <v>7.2290540764161818E-6</v>
      </c>
      <c r="U217" s="11">
        <f t="shared" si="60"/>
        <v>2.6982970318492686E-3</v>
      </c>
      <c r="V217" s="22">
        <v>7243.1780250072479</v>
      </c>
    </row>
    <row r="218" spans="1:22" x14ac:dyDescent="0.35">
      <c r="A218" s="14" t="s">
        <v>264</v>
      </c>
      <c r="B218" s="13" t="s">
        <v>571</v>
      </c>
      <c r="C218" s="13" t="s">
        <v>579</v>
      </c>
      <c r="D218" s="13">
        <v>1000</v>
      </c>
      <c r="E218" s="13">
        <v>4000</v>
      </c>
      <c r="F218">
        <f t="shared" si="64"/>
        <v>288070.61817000021</v>
      </c>
      <c r="G218" s="15">
        <v>286894.33568183181</v>
      </c>
      <c r="H218" s="7">
        <f t="shared" si="65"/>
        <v>0</v>
      </c>
      <c r="I218">
        <v>289329.399745</v>
      </c>
      <c r="J218" s="11">
        <f t="shared" si="66"/>
        <v>4.3696978990649706E-3</v>
      </c>
      <c r="K218" s="11">
        <f t="shared" si="67"/>
        <v>8.4876686651237862E-3</v>
      </c>
      <c r="L218" s="22">
        <v>1691.0796051025391</v>
      </c>
      <c r="M218" s="7">
        <f t="shared" si="68"/>
        <v>1</v>
      </c>
      <c r="N218">
        <v>288080.67270699987</v>
      </c>
      <c r="O218" s="11">
        <f t="shared" si="69"/>
        <v>3.4903028512735732E-5</v>
      </c>
      <c r="P218" s="11">
        <f t="shared" si="70"/>
        <v>4.135100898205667E-3</v>
      </c>
      <c r="Q218" s="22">
        <v>2829.0402724742798</v>
      </c>
      <c r="R218" s="7">
        <f t="shared" si="58"/>
        <v>1</v>
      </c>
      <c r="S218">
        <v>288070.61817000021</v>
      </c>
      <c r="T218" s="11">
        <f t="shared" si="59"/>
        <v>0</v>
      </c>
      <c r="U218" s="11">
        <f t="shared" si="60"/>
        <v>4.1000547653645518E-3</v>
      </c>
      <c r="V218" s="22">
        <v>1769.2968926429751</v>
      </c>
    </row>
    <row r="219" spans="1:22" x14ac:dyDescent="0.35">
      <c r="A219" s="14" t="s">
        <v>265</v>
      </c>
      <c r="B219" s="13" t="s">
        <v>571</v>
      </c>
      <c r="C219" s="13" t="s">
        <v>579</v>
      </c>
      <c r="D219" s="13">
        <v>1000</v>
      </c>
      <c r="E219" s="13">
        <v>4000</v>
      </c>
      <c r="F219">
        <f t="shared" si="64"/>
        <v>290508.81958900008</v>
      </c>
      <c r="G219" s="15">
        <v>289207.15236629511</v>
      </c>
      <c r="H219" s="7">
        <f t="shared" si="65"/>
        <v>0</v>
      </c>
      <c r="I219">
        <v>292843.33114700002</v>
      </c>
      <c r="J219" s="11">
        <f t="shared" si="66"/>
        <v>8.0359403934886081E-3</v>
      </c>
      <c r="K219" s="11">
        <f t="shared" si="67"/>
        <v>1.2572921350504886E-2</v>
      </c>
      <c r="L219" s="22">
        <v>1361.226448059082</v>
      </c>
      <c r="M219" s="7">
        <f t="shared" si="68"/>
        <v>1</v>
      </c>
      <c r="N219">
        <v>290508.81958900008</v>
      </c>
      <c r="O219" s="11">
        <f t="shared" si="69"/>
        <v>0</v>
      </c>
      <c r="P219" s="11">
        <f t="shared" si="70"/>
        <v>4.5008126944811712E-3</v>
      </c>
      <c r="Q219" s="22">
        <v>6371.39510679245</v>
      </c>
      <c r="R219" s="7">
        <f t="shared" si="58"/>
        <v>1</v>
      </c>
      <c r="S219">
        <v>290515.4033520004</v>
      </c>
      <c r="T219" s="11">
        <f t="shared" si="59"/>
        <v>2.266286789377666E-5</v>
      </c>
      <c r="U219" s="11">
        <f t="shared" si="60"/>
        <v>4.5235775636984568E-3</v>
      </c>
      <c r="V219" s="22">
        <v>3803.377788066864</v>
      </c>
    </row>
    <row r="220" spans="1:22" x14ac:dyDescent="0.35">
      <c r="A220" s="14" t="s">
        <v>266</v>
      </c>
      <c r="B220" s="13" t="s">
        <v>571</v>
      </c>
      <c r="C220" s="13" t="s">
        <v>579</v>
      </c>
      <c r="D220" s="13">
        <v>1000</v>
      </c>
      <c r="E220" s="13">
        <v>4000</v>
      </c>
      <c r="F220">
        <f t="shared" si="64"/>
        <v>286986.63183999993</v>
      </c>
      <c r="G220" s="15">
        <v>285922.54685298662</v>
      </c>
      <c r="H220" s="7">
        <f t="shared" si="65"/>
        <v>0</v>
      </c>
      <c r="I220">
        <v>289247.642261</v>
      </c>
      <c r="J220" s="11">
        <f t="shared" si="66"/>
        <v>7.878452060654257E-3</v>
      </c>
      <c r="K220" s="11">
        <f t="shared" si="67"/>
        <v>1.162935712699514E-2</v>
      </c>
      <c r="L220" s="22">
        <v>1282.989009141922</v>
      </c>
      <c r="M220" s="7">
        <f t="shared" si="68"/>
        <v>1</v>
      </c>
      <c r="N220">
        <v>286986.63183999993</v>
      </c>
      <c r="O220" s="11">
        <f t="shared" si="69"/>
        <v>0</v>
      </c>
      <c r="P220" s="11">
        <f t="shared" si="70"/>
        <v>3.7215847393819996E-3</v>
      </c>
      <c r="Q220" s="22">
        <v>6099.4066667556763</v>
      </c>
      <c r="R220" s="7">
        <f t="shared" si="58"/>
        <v>1</v>
      </c>
      <c r="S220">
        <v>286998.45528699987</v>
      </c>
      <c r="T220" s="11">
        <f t="shared" si="59"/>
        <v>4.1198598429964709E-5</v>
      </c>
      <c r="U220" s="11">
        <f t="shared" si="60"/>
        <v>3.762936661887165E-3</v>
      </c>
      <c r="V220" s="22">
        <v>7235.1946439743042</v>
      </c>
    </row>
    <row r="221" spans="1:22" x14ac:dyDescent="0.35">
      <c r="A221" s="14" t="s">
        <v>267</v>
      </c>
      <c r="B221" s="13" t="s">
        <v>571</v>
      </c>
      <c r="C221" s="13" t="s">
        <v>579</v>
      </c>
      <c r="D221" s="13">
        <v>1000</v>
      </c>
      <c r="E221" s="13">
        <v>4000</v>
      </c>
      <c r="F221">
        <f t="shared" si="64"/>
        <v>273328.21993100009</v>
      </c>
      <c r="G221" s="15">
        <v>273301.0507469626</v>
      </c>
      <c r="H221" s="7">
        <f t="shared" si="65"/>
        <v>1</v>
      </c>
      <c r="I221">
        <v>273328.21993100009</v>
      </c>
      <c r="J221" s="11">
        <f t="shared" si="66"/>
        <v>0</v>
      </c>
      <c r="K221" s="11">
        <f t="shared" si="67"/>
        <v>9.9411194955993705E-5</v>
      </c>
      <c r="L221" s="22">
        <v>2559.6</v>
      </c>
      <c r="M221" s="7">
        <f t="shared" si="68"/>
        <v>1</v>
      </c>
      <c r="N221">
        <v>273329.583851</v>
      </c>
      <c r="O221" s="11">
        <f t="shared" si="69"/>
        <v>4.9900445708109436E-6</v>
      </c>
      <c r="P221" s="11">
        <f t="shared" si="70"/>
        <v>1.0440173559309832E-4</v>
      </c>
      <c r="Q221" s="22">
        <v>4900.5524175167084</v>
      </c>
      <c r="R221" s="7">
        <f t="shared" si="58"/>
        <v>1</v>
      </c>
      <c r="S221">
        <v>273328.21993100009</v>
      </c>
      <c r="T221" s="11">
        <f t="shared" si="59"/>
        <v>0</v>
      </c>
      <c r="U221" s="11">
        <f t="shared" si="60"/>
        <v>9.9411194955993705E-5</v>
      </c>
      <c r="V221" s="22">
        <v>7233.976053237915</v>
      </c>
    </row>
    <row r="222" spans="1:22" x14ac:dyDescent="0.35">
      <c r="A222" s="14" t="s">
        <v>268</v>
      </c>
      <c r="B222" s="13" t="s">
        <v>571</v>
      </c>
      <c r="C222" s="13" t="s">
        <v>579</v>
      </c>
      <c r="D222" s="13">
        <v>1000</v>
      </c>
      <c r="E222" s="13">
        <v>4000</v>
      </c>
      <c r="F222">
        <f t="shared" si="64"/>
        <v>270564.16110800009</v>
      </c>
      <c r="G222" s="15">
        <v>270537.15889492992</v>
      </c>
      <c r="H222" s="7">
        <f t="shared" si="65"/>
        <v>1</v>
      </c>
      <c r="I222">
        <v>270564.16110800009</v>
      </c>
      <c r="J222" s="11">
        <f t="shared" si="66"/>
        <v>0</v>
      </c>
      <c r="K222" s="11">
        <f t="shared" si="67"/>
        <v>9.98096275589857E-5</v>
      </c>
      <c r="L222" s="22">
        <v>1665.2</v>
      </c>
      <c r="M222" s="7">
        <f t="shared" si="68"/>
        <v>1</v>
      </c>
      <c r="N222">
        <v>270571.14375200012</v>
      </c>
      <c r="O222" s="11">
        <f t="shared" si="69"/>
        <v>2.5807719586502129E-5</v>
      </c>
      <c r="P222" s="11">
        <f t="shared" si="70"/>
        <v>1.2561992300436791E-4</v>
      </c>
      <c r="Q222" s="22">
        <v>3188.3385510444641</v>
      </c>
      <c r="R222" s="7">
        <f t="shared" si="58"/>
        <v>1</v>
      </c>
      <c r="S222">
        <v>270566.92887300008</v>
      </c>
      <c r="T222" s="11">
        <f t="shared" si="59"/>
        <v>1.022960686538256E-5</v>
      </c>
      <c r="U222" s="11">
        <f t="shared" si="60"/>
        <v>1.1004025543761957E-4</v>
      </c>
      <c r="V222" s="22">
        <v>3139.3887507915501</v>
      </c>
    </row>
    <row r="223" spans="1:22" x14ac:dyDescent="0.35">
      <c r="A223" s="14" t="s">
        <v>269</v>
      </c>
      <c r="B223" s="13" t="s">
        <v>571</v>
      </c>
      <c r="C223" s="13" t="s">
        <v>579</v>
      </c>
      <c r="D223" s="13">
        <v>1000</v>
      </c>
      <c r="E223" s="13">
        <v>4000</v>
      </c>
      <c r="F223">
        <f t="shared" si="64"/>
        <v>274080.63837200002</v>
      </c>
      <c r="G223" s="15">
        <v>273692.28434348752</v>
      </c>
      <c r="H223" s="7">
        <f t="shared" si="65"/>
        <v>0</v>
      </c>
      <c r="I223">
        <v>274376.25020100008</v>
      </c>
      <c r="J223" s="11">
        <f t="shared" si="66"/>
        <v>1.078557868063763E-3</v>
      </c>
      <c r="K223" s="11">
        <f t="shared" si="67"/>
        <v>2.4990322951675319E-3</v>
      </c>
      <c r="L223" s="22">
        <v>2162.6258230209351</v>
      </c>
      <c r="M223" s="7">
        <f t="shared" si="68"/>
        <v>1</v>
      </c>
      <c r="N223">
        <v>274080.63837200002</v>
      </c>
      <c r="O223" s="11">
        <f t="shared" si="69"/>
        <v>0</v>
      </c>
      <c r="P223" s="11">
        <f t="shared" si="70"/>
        <v>1.4189440138732642E-3</v>
      </c>
      <c r="Q223" s="22">
        <v>5088.8491125106812</v>
      </c>
      <c r="R223" s="7">
        <f t="shared" si="58"/>
        <v>1</v>
      </c>
      <c r="S223">
        <v>274101.56377000001</v>
      </c>
      <c r="T223" s="11">
        <f t="shared" si="59"/>
        <v>7.634759654781167E-5</v>
      </c>
      <c r="U223" s="11">
        <f t="shared" si="60"/>
        <v>1.495399943386171E-3</v>
      </c>
      <c r="V223" s="22">
        <v>7235.4736063480377</v>
      </c>
    </row>
    <row r="224" spans="1:22" x14ac:dyDescent="0.35">
      <c r="A224" s="14" t="s">
        <v>270</v>
      </c>
      <c r="B224" s="13" t="s">
        <v>571</v>
      </c>
      <c r="C224" s="13" t="s">
        <v>579</v>
      </c>
      <c r="D224" s="13">
        <v>1000</v>
      </c>
      <c r="E224" s="13">
        <v>4000</v>
      </c>
      <c r="F224">
        <f t="shared" si="64"/>
        <v>275378.30644899968</v>
      </c>
      <c r="G224" s="15">
        <v>275350.76895242889</v>
      </c>
      <c r="H224" s="7">
        <f t="shared" si="65"/>
        <v>1</v>
      </c>
      <c r="I224">
        <v>275378.30644899968</v>
      </c>
      <c r="J224" s="11">
        <f t="shared" si="66"/>
        <v>0</v>
      </c>
      <c r="K224" s="11">
        <f t="shared" si="67"/>
        <v>1.0000878761136244E-4</v>
      </c>
      <c r="L224" s="22">
        <v>2667.2</v>
      </c>
      <c r="M224" s="7">
        <f t="shared" si="68"/>
        <v>1</v>
      </c>
      <c r="N224">
        <v>275378.30644900032</v>
      </c>
      <c r="O224" s="11">
        <f t="shared" si="69"/>
        <v>2.3251078790649865E-15</v>
      </c>
      <c r="P224" s="11">
        <f t="shared" si="70"/>
        <v>1.0000878761368778E-4</v>
      </c>
      <c r="Q224" s="22">
        <v>5713.2401304245004</v>
      </c>
      <c r="R224" s="7">
        <f t="shared" si="58"/>
        <v>1</v>
      </c>
      <c r="S224">
        <v>275378.30644900003</v>
      </c>
      <c r="T224" s="11">
        <f t="shared" si="59"/>
        <v>1.2682406613081743E-15</v>
      </c>
      <c r="U224" s="11">
        <f t="shared" si="60"/>
        <v>1.000087876126308E-4</v>
      </c>
      <c r="V224" s="22">
        <v>2990.019690752029</v>
      </c>
    </row>
    <row r="225" spans="1:22" x14ac:dyDescent="0.35">
      <c r="A225" s="14" t="s">
        <v>272</v>
      </c>
      <c r="B225" s="13" t="s">
        <v>571</v>
      </c>
      <c r="C225" s="13" t="s">
        <v>579</v>
      </c>
      <c r="D225" s="13">
        <v>1000</v>
      </c>
      <c r="E225" s="13">
        <v>4000</v>
      </c>
      <c r="F225">
        <f t="shared" si="64"/>
        <v>275484.03566000011</v>
      </c>
      <c r="G225" s="15">
        <v>275456.64888574468</v>
      </c>
      <c r="H225" s="7">
        <f t="shared" si="65"/>
        <v>1</v>
      </c>
      <c r="I225">
        <v>275484.0356600004</v>
      </c>
      <c r="J225" s="11">
        <f t="shared" si="66"/>
        <v>1.0564615981106573E-15</v>
      </c>
      <c r="K225" s="11">
        <f t="shared" si="67"/>
        <v>9.9423173724440134E-5</v>
      </c>
      <c r="L225" s="22">
        <v>4528.6000000000004</v>
      </c>
      <c r="M225" s="7">
        <f t="shared" si="68"/>
        <v>1</v>
      </c>
      <c r="N225">
        <v>275484.03566000011</v>
      </c>
      <c r="O225" s="11">
        <f t="shared" si="69"/>
        <v>0</v>
      </c>
      <c r="P225" s="11">
        <f t="shared" si="70"/>
        <v>9.9423173723383565E-5</v>
      </c>
      <c r="Q225" s="22">
        <v>7211.9121222496033</v>
      </c>
      <c r="R225" s="7">
        <f t="shared" si="58"/>
        <v>0</v>
      </c>
      <c r="S225">
        <v>275532.02675600001</v>
      </c>
      <c r="T225" s="11">
        <f t="shared" si="59"/>
        <v>1.7420645042069238E-4</v>
      </c>
      <c r="U225" s="11">
        <f t="shared" si="60"/>
        <v>2.7364694430225987E-4</v>
      </c>
      <c r="V225" s="22">
        <v>2953.1171810626979</v>
      </c>
    </row>
    <row r="226" spans="1:22" x14ac:dyDescent="0.35">
      <c r="A226" s="14" t="s">
        <v>330</v>
      </c>
      <c r="B226" s="13" t="s">
        <v>573</v>
      </c>
      <c r="C226" s="13" t="s">
        <v>579</v>
      </c>
      <c r="D226" s="13">
        <v>1200</v>
      </c>
      <c r="E226" s="13">
        <v>3000</v>
      </c>
      <c r="F226">
        <f t="shared" si="64"/>
        <v>1434890.4288300001</v>
      </c>
      <c r="G226" s="15">
        <v>1251310.708201318</v>
      </c>
      <c r="H226" s="7">
        <f t="shared" si="65"/>
        <v>1</v>
      </c>
      <c r="I226">
        <v>1434890.4288300001</v>
      </c>
      <c r="J226" s="11">
        <f t="shared" si="66"/>
        <v>0</v>
      </c>
      <c r="K226" s="11">
        <f t="shared" si="67"/>
        <v>0.14670994136425683</v>
      </c>
      <c r="L226" s="22">
        <v>7202.2</v>
      </c>
      <c r="M226" s="7">
        <f t="shared" si="68"/>
        <v>0</v>
      </c>
      <c r="N226">
        <v>1435228.644017</v>
      </c>
      <c r="O226" s="11">
        <f t="shared" si="69"/>
        <v>2.3570802355665324E-4</v>
      </c>
      <c r="P226" s="11">
        <f t="shared" si="70"/>
        <v>0.14698023009812858</v>
      </c>
      <c r="Q226" s="22">
        <v>7546.8350455760956</v>
      </c>
      <c r="R226" s="7">
        <f t="shared" si="58"/>
        <v>0</v>
      </c>
      <c r="S226">
        <v>1790556.0755359989</v>
      </c>
      <c r="T226" s="11">
        <f t="shared" si="59"/>
        <v>0.2478695512632321</v>
      </c>
      <c r="U226" s="11">
        <f t="shared" si="60"/>
        <v>0.43094441995930238</v>
      </c>
      <c r="V226" s="22">
        <v>7254.6109132766724</v>
      </c>
    </row>
    <row r="227" spans="1:22" x14ac:dyDescent="0.35">
      <c r="A227" s="14" t="s">
        <v>331</v>
      </c>
      <c r="B227" s="13" t="s">
        <v>573</v>
      </c>
      <c r="C227" s="13" t="s">
        <v>579</v>
      </c>
      <c r="D227" s="13">
        <v>1200</v>
      </c>
      <c r="E227" s="13">
        <v>3000</v>
      </c>
      <c r="F227">
        <f t="shared" si="64"/>
        <v>1404329.770541999</v>
      </c>
      <c r="G227" s="15">
        <v>1264763.4408349241</v>
      </c>
      <c r="H227" s="7">
        <f t="shared" si="65"/>
        <v>0</v>
      </c>
      <c r="I227">
        <v>1404718.1421950001</v>
      </c>
      <c r="J227" s="11">
        <f t="shared" si="66"/>
        <v>2.7655302988497174E-4</v>
      </c>
      <c r="K227" s="11">
        <f t="shared" si="67"/>
        <v>0.11065682074719516</v>
      </c>
      <c r="L227" s="22">
        <v>7201.4</v>
      </c>
      <c r="M227" s="7">
        <f t="shared" si="68"/>
        <v>1</v>
      </c>
      <c r="N227">
        <v>1404329.770541999</v>
      </c>
      <c r="O227" s="11">
        <f t="shared" si="69"/>
        <v>0</v>
      </c>
      <c r="P227" s="11">
        <f t="shared" si="70"/>
        <v>0.11034975015955652</v>
      </c>
      <c r="Q227" s="22">
        <v>7239.800713300705</v>
      </c>
      <c r="R227" s="7">
        <f t="shared" si="58"/>
        <v>0</v>
      </c>
      <c r="S227">
        <v>1433431.002654</v>
      </c>
      <c r="T227" s="11">
        <f t="shared" si="59"/>
        <v>2.0722506011368932E-2</v>
      </c>
      <c r="U227" s="11">
        <f t="shared" si="60"/>
        <v>0.13335897953195991</v>
      </c>
      <c r="V227" s="22">
        <v>7222.6308252811432</v>
      </c>
    </row>
    <row r="228" spans="1:22" x14ac:dyDescent="0.35">
      <c r="A228" s="14" t="s">
        <v>332</v>
      </c>
      <c r="B228" s="13" t="s">
        <v>573</v>
      </c>
      <c r="C228" s="13" t="s">
        <v>579</v>
      </c>
      <c r="D228" s="13">
        <v>1200</v>
      </c>
      <c r="E228" s="13">
        <v>3000</v>
      </c>
      <c r="F228">
        <f t="shared" si="64"/>
        <v>1445967.4182759989</v>
      </c>
      <c r="G228" s="15">
        <v>1292080.198414478</v>
      </c>
      <c r="H228" s="7">
        <f t="shared" si="65"/>
        <v>1</v>
      </c>
      <c r="I228">
        <v>1445967.4182759989</v>
      </c>
      <c r="J228" s="11">
        <f t="shared" si="66"/>
        <v>0</v>
      </c>
      <c r="K228" s="11">
        <f t="shared" si="67"/>
        <v>0.1191003623849024</v>
      </c>
      <c r="L228" s="22">
        <v>7204.2</v>
      </c>
      <c r="M228" s="7" t="s">
        <v>561</v>
      </c>
      <c r="N228" t="s">
        <v>561</v>
      </c>
      <c r="O228" t="s">
        <v>561</v>
      </c>
      <c r="P228" t="s">
        <v>561</v>
      </c>
      <c r="Q228" s="24" t="s">
        <v>561</v>
      </c>
      <c r="R228" s="7">
        <f t="shared" si="58"/>
        <v>0</v>
      </c>
      <c r="S228">
        <v>1970172.326665001</v>
      </c>
      <c r="T228" s="11">
        <f t="shared" si="59"/>
        <v>0.3625288521466149</v>
      </c>
      <c r="U228" s="11">
        <f t="shared" si="60"/>
        <v>0.52480653219716189</v>
      </c>
      <c r="V228" s="22">
        <v>7248.3569850921631</v>
      </c>
    </row>
    <row r="229" spans="1:22" x14ac:dyDescent="0.35">
      <c r="A229" s="14" t="s">
        <v>333</v>
      </c>
      <c r="B229" s="13" t="s">
        <v>573</v>
      </c>
      <c r="C229" s="13" t="s">
        <v>579</v>
      </c>
      <c r="D229" s="13">
        <v>1200</v>
      </c>
      <c r="E229" s="13">
        <v>3000</v>
      </c>
      <c r="F229">
        <f t="shared" si="64"/>
        <v>1449306.058025999</v>
      </c>
      <c r="G229" s="15">
        <v>1287759.6915276761</v>
      </c>
      <c r="H229" s="7">
        <f t="shared" si="65"/>
        <v>0</v>
      </c>
      <c r="I229">
        <v>3821763.3489929992</v>
      </c>
      <c r="J229" s="11">
        <f t="shared" si="66"/>
        <v>1.6369608598741128</v>
      </c>
      <c r="K229" s="11">
        <f t="shared" si="67"/>
        <v>1.9677612788603602</v>
      </c>
      <c r="L229" s="22">
        <v>7201.2</v>
      </c>
      <c r="M229" s="7">
        <f>IF(O229&lt;=0.0001,1,0)</f>
        <v>0</v>
      </c>
      <c r="N229">
        <v>2355069.2170150001</v>
      </c>
      <c r="O229" s="11">
        <f>(N229-$F229)/$F229</f>
        <v>0.62496334295509626</v>
      </c>
      <c r="P229" s="11">
        <f>(N229-$G229)/$G229</f>
        <v>0.8288110992363561</v>
      </c>
      <c r="Q229" s="22">
        <v>7412.3974273204803</v>
      </c>
      <c r="R229" s="7">
        <f t="shared" si="58"/>
        <v>1</v>
      </c>
      <c r="S229">
        <v>1449306.058025999</v>
      </c>
      <c r="T229" s="11">
        <f t="shared" si="59"/>
        <v>0</v>
      </c>
      <c r="U229" s="11">
        <f t="shared" si="60"/>
        <v>0.1254476029659537</v>
      </c>
      <c r="V229" s="22">
        <v>7219.6125280857086</v>
      </c>
    </row>
    <row r="230" spans="1:22" x14ac:dyDescent="0.35">
      <c r="A230" s="14" t="s">
        <v>334</v>
      </c>
      <c r="B230" s="13" t="s">
        <v>573</v>
      </c>
      <c r="C230" s="13" t="s">
        <v>579</v>
      </c>
      <c r="D230" s="13">
        <v>1200</v>
      </c>
      <c r="E230" s="13">
        <v>3000</v>
      </c>
      <c r="F230">
        <f t="shared" si="64"/>
        <v>1442975.4424419999</v>
      </c>
      <c r="G230" s="15">
        <v>1281140.1813303761</v>
      </c>
      <c r="H230" s="7">
        <f t="shared" si="65"/>
        <v>0</v>
      </c>
      <c r="I230">
        <v>1462974.0982080011</v>
      </c>
      <c r="J230" s="11">
        <f t="shared" si="66"/>
        <v>1.3859318168406768E-2</v>
      </c>
      <c r="K230" s="11">
        <f t="shared" si="67"/>
        <v>0.14193131987227425</v>
      </c>
      <c r="L230" s="22">
        <v>7202.6</v>
      </c>
      <c r="M230" s="7" t="s">
        <v>561</v>
      </c>
      <c r="N230" t="s">
        <v>561</v>
      </c>
      <c r="O230" t="s">
        <v>561</v>
      </c>
      <c r="P230" t="s">
        <v>561</v>
      </c>
      <c r="Q230" s="24" t="s">
        <v>561</v>
      </c>
      <c r="R230" s="7">
        <f t="shared" si="58"/>
        <v>1</v>
      </c>
      <c r="S230">
        <v>1442975.4424419999</v>
      </c>
      <c r="T230" s="11">
        <f t="shared" si="59"/>
        <v>0</v>
      </c>
      <c r="U230" s="11">
        <f t="shared" si="60"/>
        <v>0.12632127496272036</v>
      </c>
      <c r="V230" s="22">
        <v>7222.9028673171997</v>
      </c>
    </row>
    <row r="231" spans="1:22" x14ac:dyDescent="0.35">
      <c r="A231" s="14" t="s">
        <v>335</v>
      </c>
      <c r="B231" s="13" t="s">
        <v>573</v>
      </c>
      <c r="C231" s="13" t="s">
        <v>579</v>
      </c>
      <c r="D231" s="13">
        <v>1200</v>
      </c>
      <c r="E231" s="13">
        <v>3000</v>
      </c>
      <c r="F231">
        <f t="shared" si="64"/>
        <v>856372.14207799977</v>
      </c>
      <c r="G231" s="15">
        <v>810687.47608232941</v>
      </c>
      <c r="H231" s="7">
        <f t="shared" si="65"/>
        <v>0</v>
      </c>
      <c r="I231">
        <v>862677.49383999966</v>
      </c>
      <c r="J231" s="11">
        <f t="shared" si="66"/>
        <v>7.3628641710598609E-3</v>
      </c>
      <c r="K231" s="11">
        <f t="shared" si="67"/>
        <v>6.4130777015223572E-2</v>
      </c>
      <c r="L231" s="22">
        <v>3851.3483338356018</v>
      </c>
      <c r="M231" s="7">
        <f>IF(O231&lt;=0.0001,1,0)</f>
        <v>0</v>
      </c>
      <c r="N231">
        <v>865845.90885299956</v>
      </c>
      <c r="O231" s="11">
        <f>(N231-$F231)/$F231</f>
        <v>1.1062675102919108E-2</v>
      </c>
      <c r="P231" s="11">
        <f>(N231-$G231)/$G231</f>
        <v>6.8039083368136979E-2</v>
      </c>
      <c r="Q231" s="22">
        <v>7222.8393723964691</v>
      </c>
      <c r="R231" s="7">
        <f t="shared" si="58"/>
        <v>1</v>
      </c>
      <c r="S231">
        <v>856372.14207799977</v>
      </c>
      <c r="T231" s="11">
        <f t="shared" si="59"/>
        <v>0</v>
      </c>
      <c r="U231" s="11">
        <f t="shared" si="60"/>
        <v>5.6352993408067473E-2</v>
      </c>
      <c r="V231" s="22">
        <v>7251.2184653282166</v>
      </c>
    </row>
    <row r="232" spans="1:22" x14ac:dyDescent="0.35">
      <c r="A232" s="14" t="s">
        <v>336</v>
      </c>
      <c r="B232" s="13" t="s">
        <v>573</v>
      </c>
      <c r="C232" s="13" t="s">
        <v>579</v>
      </c>
      <c r="D232" s="13">
        <v>1200</v>
      </c>
      <c r="E232" s="13">
        <v>3000</v>
      </c>
      <c r="F232">
        <f t="shared" si="64"/>
        <v>847359.14086599951</v>
      </c>
      <c r="G232" s="15">
        <v>802501.05354313762</v>
      </c>
      <c r="H232" s="7">
        <f t="shared" si="65"/>
        <v>0</v>
      </c>
      <c r="I232">
        <v>857119.52104499959</v>
      </c>
      <c r="J232" s="11">
        <f t="shared" si="66"/>
        <v>1.1518587229760685E-2</v>
      </c>
      <c r="K232" s="11">
        <f t="shared" si="67"/>
        <v>6.8060306289586717E-2</v>
      </c>
      <c r="L232" s="22">
        <v>4275.231381893158</v>
      </c>
      <c r="M232" s="7">
        <f>IF(O232&lt;=0.0001,1,0)</f>
        <v>0</v>
      </c>
      <c r="N232">
        <v>855133.03871099954</v>
      </c>
      <c r="O232" s="11">
        <f>(N232-$F232)/$F232</f>
        <v>9.1742656331707459E-3</v>
      </c>
      <c r="P232" s="11">
        <f>(N232-$G232)/$G232</f>
        <v>6.5584942144917363E-2</v>
      </c>
      <c r="Q232" s="22">
        <v>7223.2111666202554</v>
      </c>
      <c r="R232" s="7">
        <f t="shared" si="58"/>
        <v>1</v>
      </c>
      <c r="S232">
        <v>847359.14086599951</v>
      </c>
      <c r="T232" s="11">
        <f t="shared" si="59"/>
        <v>0</v>
      </c>
      <c r="U232" s="11">
        <f t="shared" si="60"/>
        <v>5.5897854744000768E-2</v>
      </c>
      <c r="V232" s="22">
        <v>7258.9843108654022</v>
      </c>
    </row>
    <row r="233" spans="1:22" x14ac:dyDescent="0.35">
      <c r="A233" s="14" t="s">
        <v>337</v>
      </c>
      <c r="B233" s="13" t="s">
        <v>573</v>
      </c>
      <c r="C233" s="13" t="s">
        <v>579</v>
      </c>
      <c r="D233" s="13">
        <v>1200</v>
      </c>
      <c r="E233" s="13">
        <v>3000</v>
      </c>
      <c r="F233">
        <f t="shared" si="64"/>
        <v>854547.42297099996</v>
      </c>
      <c r="G233" s="15">
        <v>799505.48390254029</v>
      </c>
      <c r="H233" s="7">
        <f t="shared" si="65"/>
        <v>0</v>
      </c>
      <c r="I233">
        <v>855194.37849999976</v>
      </c>
      <c r="J233" s="11">
        <f t="shared" si="66"/>
        <v>7.5707387514028037E-4</v>
      </c>
      <c r="K233" s="11">
        <f t="shared" si="67"/>
        <v>6.9654174635089744E-2</v>
      </c>
      <c r="L233" s="22">
        <v>7203.2</v>
      </c>
      <c r="M233" s="7">
        <f>IF(O233&lt;=0.0001,1,0)</f>
        <v>0</v>
      </c>
      <c r="N233">
        <v>855302.69226200006</v>
      </c>
      <c r="O233" s="11">
        <f>(N233-$F233)/$F233</f>
        <v>8.8382373019656559E-4</v>
      </c>
      <c r="P233" s="11">
        <f>(N233-$G233)/$G233</f>
        <v>6.9789650581385435E-2</v>
      </c>
      <c r="Q233" s="22">
        <v>7239.2472176551819</v>
      </c>
      <c r="R233" s="7">
        <f t="shared" si="58"/>
        <v>1</v>
      </c>
      <c r="S233">
        <v>854547.42297099996</v>
      </c>
      <c r="T233" s="11">
        <f t="shared" si="59"/>
        <v>0</v>
      </c>
      <c r="U233" s="11">
        <f t="shared" si="60"/>
        <v>6.8844980024138622E-2</v>
      </c>
      <c r="V233" s="22">
        <v>7251.3632922172546</v>
      </c>
    </row>
    <row r="234" spans="1:22" x14ac:dyDescent="0.35">
      <c r="A234" s="14" t="s">
        <v>338</v>
      </c>
      <c r="B234" s="13" t="s">
        <v>573</v>
      </c>
      <c r="C234" s="13" t="s">
        <v>579</v>
      </c>
      <c r="D234" s="13">
        <v>1200</v>
      </c>
      <c r="E234" s="13">
        <v>3000</v>
      </c>
      <c r="F234">
        <f t="shared" si="64"/>
        <v>856236.6842459999</v>
      </c>
      <c r="G234" s="15">
        <v>800669.43920236034</v>
      </c>
      <c r="H234" s="7">
        <f t="shared" si="65"/>
        <v>0</v>
      </c>
      <c r="I234">
        <v>860092.02131199976</v>
      </c>
      <c r="J234" s="11">
        <f t="shared" si="66"/>
        <v>4.5026534566138835E-3</v>
      </c>
      <c r="K234" s="11">
        <f t="shared" si="67"/>
        <v>7.4216123658768771E-2</v>
      </c>
      <c r="L234" s="22">
        <v>4555.0744059085846</v>
      </c>
      <c r="M234" s="7">
        <f>IF(O234&lt;=0.0001,1,0)</f>
        <v>0</v>
      </c>
      <c r="N234">
        <v>858967.49948199978</v>
      </c>
      <c r="O234" s="11">
        <f>(N234-$F234)/$F234</f>
        <v>3.1893228662640497E-3</v>
      </c>
      <c r="P234" s="11">
        <f>(N234-$G234)/$G234</f>
        <v>7.2811646636240915E-2</v>
      </c>
      <c r="Q234" s="22">
        <v>7253.5511651039124</v>
      </c>
      <c r="R234" s="7">
        <f t="shared" si="58"/>
        <v>1</v>
      </c>
      <c r="S234">
        <v>856236.6842459999</v>
      </c>
      <c r="T234" s="11">
        <f t="shared" si="59"/>
        <v>0</v>
      </c>
      <c r="U234" s="11">
        <f t="shared" si="60"/>
        <v>6.9400981632315742E-2</v>
      </c>
      <c r="V234" s="22">
        <v>7283.2323136329651</v>
      </c>
    </row>
    <row r="235" spans="1:22" x14ac:dyDescent="0.35">
      <c r="A235" s="14" t="s">
        <v>340</v>
      </c>
      <c r="B235" s="13" t="s">
        <v>573</v>
      </c>
      <c r="C235" s="13" t="s">
        <v>579</v>
      </c>
      <c r="D235" s="13">
        <v>1200</v>
      </c>
      <c r="E235" s="13">
        <v>3000</v>
      </c>
      <c r="F235">
        <f t="shared" si="64"/>
        <v>853723.90634700004</v>
      </c>
      <c r="G235" s="15">
        <v>800672.17705827288</v>
      </c>
      <c r="H235" s="7">
        <f t="shared" si="65"/>
        <v>1</v>
      </c>
      <c r="I235">
        <v>853743.35065800021</v>
      </c>
      <c r="J235" s="11">
        <f t="shared" si="66"/>
        <v>2.2775877371613253E-5</v>
      </c>
      <c r="K235" s="11">
        <f t="shared" si="67"/>
        <v>6.6283274379178053E-2</v>
      </c>
      <c r="L235" s="22">
        <v>5035.5896189212799</v>
      </c>
      <c r="M235" s="7">
        <f>IF(O235&lt;=0.0001,1,0)</f>
        <v>1</v>
      </c>
      <c r="N235">
        <v>853723.90634700004</v>
      </c>
      <c r="O235" s="11">
        <f>(N235-$F235)/$F235</f>
        <v>0</v>
      </c>
      <c r="P235" s="11">
        <f>(N235-$G235)/$G235</f>
        <v>6.6258989395189205E-2</v>
      </c>
      <c r="Q235" s="22">
        <v>7217.873791217804</v>
      </c>
      <c r="R235" s="7">
        <f t="shared" ref="R235:R298" si="71">IF(T235&lt;=0.0001,1,0)</f>
        <v>0</v>
      </c>
      <c r="S235">
        <v>855364.94984399993</v>
      </c>
      <c r="T235" s="11">
        <f t="shared" ref="T235:T298" si="72">(S235-$F235)/$F235</f>
        <v>1.9222180435613571E-3</v>
      </c>
      <c r="U235" s="11">
        <f t="shared" ref="U235:U298" si="73">(S235-$G235)/$G235</f>
        <v>6.8308571663714138E-2</v>
      </c>
      <c r="V235" s="22">
        <v>7278.1107819080353</v>
      </c>
    </row>
    <row r="236" spans="1:22" x14ac:dyDescent="0.35">
      <c r="A236" s="14" t="s">
        <v>341</v>
      </c>
      <c r="B236" s="13" t="s">
        <v>573</v>
      </c>
      <c r="C236" s="13" t="s">
        <v>579</v>
      </c>
      <c r="D236" s="13">
        <v>1200</v>
      </c>
      <c r="E236" s="13">
        <v>3000</v>
      </c>
      <c r="F236">
        <f t="shared" si="64"/>
        <v>601005.92311599979</v>
      </c>
      <c r="G236" s="15">
        <v>572565.65243356174</v>
      </c>
      <c r="H236" s="7">
        <f t="shared" si="65"/>
        <v>0</v>
      </c>
      <c r="I236">
        <v>603291.42717499984</v>
      </c>
      <c r="J236" s="11">
        <f t="shared" si="66"/>
        <v>3.802797894487528E-3</v>
      </c>
      <c r="K236" s="11">
        <f t="shared" si="67"/>
        <v>5.3663321596126301E-2</v>
      </c>
      <c r="L236" s="22">
        <v>3118.512565851212</v>
      </c>
      <c r="M236" s="7" t="s">
        <v>561</v>
      </c>
      <c r="N236" t="s">
        <v>561</v>
      </c>
      <c r="O236" t="s">
        <v>561</v>
      </c>
      <c r="P236" t="s">
        <v>561</v>
      </c>
      <c r="Q236" s="24" t="s">
        <v>561</v>
      </c>
      <c r="R236" s="7">
        <f t="shared" si="71"/>
        <v>1</v>
      </c>
      <c r="S236">
        <v>601005.92311599979</v>
      </c>
      <c r="T236" s="11">
        <f t="shared" si="72"/>
        <v>0</v>
      </c>
      <c r="U236" s="11">
        <f t="shared" si="73"/>
        <v>4.9671632522068097E-2</v>
      </c>
      <c r="V236" s="22">
        <v>7252.3718214035034</v>
      </c>
    </row>
    <row r="237" spans="1:22" x14ac:dyDescent="0.35">
      <c r="A237" s="14" t="s">
        <v>342</v>
      </c>
      <c r="B237" s="13" t="s">
        <v>573</v>
      </c>
      <c r="C237" s="13" t="s">
        <v>579</v>
      </c>
      <c r="D237" s="13">
        <v>1200</v>
      </c>
      <c r="E237" s="13">
        <v>3000</v>
      </c>
      <c r="F237">
        <f t="shared" si="64"/>
        <v>584674.14011899964</v>
      </c>
      <c r="G237" s="15">
        <v>557330.4408089082</v>
      </c>
      <c r="H237" s="7">
        <f t="shared" si="65"/>
        <v>0</v>
      </c>
      <c r="I237">
        <v>594205.43414299958</v>
      </c>
      <c r="J237" s="11">
        <f t="shared" si="66"/>
        <v>1.6301890865328891E-2</v>
      </c>
      <c r="K237" s="11">
        <f t="shared" si="67"/>
        <v>6.6163608936506496E-2</v>
      </c>
      <c r="L237" s="22">
        <v>2195.147567987442</v>
      </c>
      <c r="M237" s="7" t="s">
        <v>561</v>
      </c>
      <c r="N237" t="s">
        <v>561</v>
      </c>
      <c r="O237" t="s">
        <v>561</v>
      </c>
      <c r="P237" t="s">
        <v>561</v>
      </c>
      <c r="Q237" s="24" t="s">
        <v>561</v>
      </c>
      <c r="R237" s="7">
        <f t="shared" si="71"/>
        <v>1</v>
      </c>
      <c r="S237">
        <v>584674.14011899964</v>
      </c>
      <c r="T237" s="11">
        <f t="shared" si="72"/>
        <v>0</v>
      </c>
      <c r="U237" s="11">
        <f t="shared" si="73"/>
        <v>4.9061916069764386E-2</v>
      </c>
      <c r="V237" s="22">
        <v>7259.0612971782684</v>
      </c>
    </row>
    <row r="238" spans="1:22" x14ac:dyDescent="0.35">
      <c r="A238" s="14" t="s">
        <v>343</v>
      </c>
      <c r="B238" s="13" t="s">
        <v>573</v>
      </c>
      <c r="C238" s="13" t="s">
        <v>579</v>
      </c>
      <c r="D238" s="13">
        <v>1200</v>
      </c>
      <c r="E238" s="13">
        <v>3000</v>
      </c>
      <c r="F238">
        <f t="shared" si="64"/>
        <v>573521.34240800003</v>
      </c>
      <c r="G238" s="15">
        <v>553673.94639344979</v>
      </c>
      <c r="H238" s="7">
        <f t="shared" si="65"/>
        <v>0</v>
      </c>
      <c r="I238">
        <v>586788.91459299996</v>
      </c>
      <c r="J238" s="11">
        <f t="shared" si="66"/>
        <v>2.3133528264692647E-2</v>
      </c>
      <c r="K238" s="11">
        <f t="shared" si="67"/>
        <v>5.9809511383470688E-2</v>
      </c>
      <c r="L238" s="22">
        <v>2174.5591220855708</v>
      </c>
      <c r="M238" s="7" t="s">
        <v>561</v>
      </c>
      <c r="N238" t="s">
        <v>561</v>
      </c>
      <c r="O238" t="s">
        <v>561</v>
      </c>
      <c r="P238" t="s">
        <v>561</v>
      </c>
      <c r="Q238" s="24" t="s">
        <v>561</v>
      </c>
      <c r="R238" s="7">
        <f t="shared" si="71"/>
        <v>1</v>
      </c>
      <c r="S238">
        <v>573521.34240800003</v>
      </c>
      <c r="T238" s="11">
        <f t="shared" si="72"/>
        <v>0</v>
      </c>
      <c r="U238" s="11">
        <f t="shared" si="73"/>
        <v>3.5846721963049256E-2</v>
      </c>
      <c r="V238" s="22">
        <v>7246.6543068885803</v>
      </c>
    </row>
    <row r="239" spans="1:22" x14ac:dyDescent="0.35">
      <c r="A239" s="14" t="s">
        <v>344</v>
      </c>
      <c r="B239" s="13" t="s">
        <v>573</v>
      </c>
      <c r="C239" s="13" t="s">
        <v>579</v>
      </c>
      <c r="D239" s="13">
        <v>1200</v>
      </c>
      <c r="E239" s="13">
        <v>3000</v>
      </c>
      <c r="F239">
        <f t="shared" si="64"/>
        <v>585863.15717699961</v>
      </c>
      <c r="G239" s="15">
        <v>564203.34861692844</v>
      </c>
      <c r="H239" s="7">
        <f t="shared" si="65"/>
        <v>0</v>
      </c>
      <c r="I239">
        <v>593232.21846799972</v>
      </c>
      <c r="J239" s="11">
        <f t="shared" si="66"/>
        <v>1.2578127162848344E-2</v>
      </c>
      <c r="K239" s="11">
        <f t="shared" si="67"/>
        <v>5.1451076854172863E-2</v>
      </c>
      <c r="L239" s="22">
        <v>2193.662230014801</v>
      </c>
      <c r="M239" s="7">
        <f>IF(O239&lt;=0.0001,1,0)</f>
        <v>1</v>
      </c>
      <c r="N239">
        <v>585863.15717699961</v>
      </c>
      <c r="O239" s="11">
        <f>(N239-$F239)/$F239</f>
        <v>0</v>
      </c>
      <c r="P239" s="11">
        <f>(N239-$G239)/$G239</f>
        <v>3.8390074453062681E-2</v>
      </c>
      <c r="Q239" s="22">
        <v>7224.3148467540741</v>
      </c>
      <c r="R239" s="7">
        <f t="shared" si="71"/>
        <v>0</v>
      </c>
      <c r="S239">
        <v>589540.02432899969</v>
      </c>
      <c r="T239" s="11">
        <f t="shared" si="72"/>
        <v>6.2759828928604777E-3</v>
      </c>
      <c r="U239" s="11">
        <f t="shared" si="73"/>
        <v>4.4906992796446221E-2</v>
      </c>
      <c r="V239" s="22">
        <v>7250.3065304756155</v>
      </c>
    </row>
    <row r="240" spans="1:22" x14ac:dyDescent="0.35">
      <c r="A240" s="14" t="s">
        <v>345</v>
      </c>
      <c r="B240" s="13" t="s">
        <v>573</v>
      </c>
      <c r="C240" s="13" t="s">
        <v>579</v>
      </c>
      <c r="D240" s="13">
        <v>1200</v>
      </c>
      <c r="E240" s="13">
        <v>3000</v>
      </c>
      <c r="F240">
        <f t="shared" si="64"/>
        <v>577645.20377799973</v>
      </c>
      <c r="G240" s="15">
        <v>555267.049098738</v>
      </c>
      <c r="H240" s="7">
        <f t="shared" si="65"/>
        <v>0</v>
      </c>
      <c r="I240">
        <v>587976.909996</v>
      </c>
      <c r="J240" s="11">
        <f t="shared" si="66"/>
        <v>1.7885903233381548E-2</v>
      </c>
      <c r="K240" s="11">
        <f t="shared" si="67"/>
        <v>5.8908341401410096E-2</v>
      </c>
      <c r="L240" s="22">
        <v>1917.8304440975189</v>
      </c>
      <c r="M240" s="7" t="s">
        <v>561</v>
      </c>
      <c r="N240" t="s">
        <v>561</v>
      </c>
      <c r="O240" t="s">
        <v>561</v>
      </c>
      <c r="P240" t="s">
        <v>561</v>
      </c>
      <c r="Q240" s="24" t="s">
        <v>561</v>
      </c>
      <c r="R240" s="7">
        <f t="shared" si="71"/>
        <v>1</v>
      </c>
      <c r="S240">
        <v>577645.20377799973</v>
      </c>
      <c r="T240" s="11">
        <f t="shared" si="72"/>
        <v>0</v>
      </c>
      <c r="U240" s="11">
        <f t="shared" si="73"/>
        <v>4.0301607515850324E-2</v>
      </c>
      <c r="V240" s="22">
        <v>7253.0192544460297</v>
      </c>
    </row>
    <row r="241" spans="1:22" x14ac:dyDescent="0.35">
      <c r="A241" s="14" t="s">
        <v>346</v>
      </c>
      <c r="B241" s="13" t="s">
        <v>573</v>
      </c>
      <c r="C241" s="13" t="s">
        <v>579</v>
      </c>
      <c r="D241" s="13">
        <v>1200</v>
      </c>
      <c r="E241" s="13">
        <v>3000</v>
      </c>
      <c r="F241">
        <f t="shared" si="64"/>
        <v>278313.97003000003</v>
      </c>
      <c r="G241" s="15">
        <v>274270.09381410241</v>
      </c>
      <c r="H241" s="7">
        <f t="shared" si="65"/>
        <v>0</v>
      </c>
      <c r="I241">
        <v>283744.29330299993</v>
      </c>
      <c r="J241" s="11">
        <f t="shared" si="66"/>
        <v>1.9511500886622953E-2</v>
      </c>
      <c r="K241" s="11">
        <f t="shared" si="67"/>
        <v>3.4543319532748751E-2</v>
      </c>
      <c r="L241" s="22">
        <v>2536.730309009552</v>
      </c>
      <c r="M241" s="7" t="s">
        <v>561</v>
      </c>
      <c r="N241" t="s">
        <v>561</v>
      </c>
      <c r="O241" t="s">
        <v>561</v>
      </c>
      <c r="P241" t="s">
        <v>561</v>
      </c>
      <c r="Q241" s="24" t="s">
        <v>561</v>
      </c>
      <c r="R241" s="7">
        <f t="shared" si="71"/>
        <v>1</v>
      </c>
      <c r="S241">
        <v>278313.97003000003</v>
      </c>
      <c r="T241" s="11">
        <f t="shared" si="72"/>
        <v>0</v>
      </c>
      <c r="U241" s="11">
        <f t="shared" si="73"/>
        <v>1.4744138377108357E-2</v>
      </c>
      <c r="V241" s="22">
        <v>7269.5297865867606</v>
      </c>
    </row>
    <row r="242" spans="1:22" x14ac:dyDescent="0.35">
      <c r="A242" s="14" t="s">
        <v>347</v>
      </c>
      <c r="B242" s="13" t="s">
        <v>573</v>
      </c>
      <c r="C242" s="13" t="s">
        <v>579</v>
      </c>
      <c r="D242" s="13">
        <v>1200</v>
      </c>
      <c r="E242" s="13">
        <v>3000</v>
      </c>
      <c r="F242">
        <f t="shared" si="64"/>
        <v>273762.07066700002</v>
      </c>
      <c r="G242" s="15">
        <v>270207.06548165227</v>
      </c>
      <c r="H242" s="7">
        <f t="shared" si="65"/>
        <v>0</v>
      </c>
      <c r="I242">
        <v>285647.37135000009</v>
      </c>
      <c r="J242" s="11">
        <f t="shared" si="66"/>
        <v>4.3414709181744775E-2</v>
      </c>
      <c r="K242" s="11">
        <f t="shared" si="67"/>
        <v>5.7142494926344739E-2</v>
      </c>
      <c r="L242" s="22">
        <v>1821.159107208252</v>
      </c>
      <c r="M242" s="7">
        <f>IF(O242&lt;=0.0001,1,0)</f>
        <v>0</v>
      </c>
      <c r="N242">
        <v>274292.69084099989</v>
      </c>
      <c r="O242" s="11">
        <f>(N242-$F242)/$F242</f>
        <v>1.9382530702922074E-3</v>
      </c>
      <c r="P242" s="11">
        <f>(N242-$G242)/$G242</f>
        <v>1.5120349840093424E-2</v>
      </c>
      <c r="Q242" s="22">
        <v>7220.8984334468842</v>
      </c>
      <c r="R242" s="7">
        <f t="shared" si="71"/>
        <v>1</v>
      </c>
      <c r="S242">
        <v>273762.07066700002</v>
      </c>
      <c r="T242" s="11">
        <f t="shared" si="72"/>
        <v>0</v>
      </c>
      <c r="U242" s="11">
        <f t="shared" si="73"/>
        <v>1.31565959572924E-2</v>
      </c>
      <c r="V242" s="22">
        <v>7218.8545269966125</v>
      </c>
    </row>
    <row r="243" spans="1:22" x14ac:dyDescent="0.35">
      <c r="A243" s="14" t="s">
        <v>348</v>
      </c>
      <c r="B243" s="13" t="s">
        <v>573</v>
      </c>
      <c r="C243" s="13" t="s">
        <v>579</v>
      </c>
      <c r="D243" s="13">
        <v>1200</v>
      </c>
      <c r="E243" s="13">
        <v>3000</v>
      </c>
      <c r="F243">
        <f t="shared" si="64"/>
        <v>277787.38753199991</v>
      </c>
      <c r="G243" s="15">
        <v>273775.97260941402</v>
      </c>
      <c r="H243" s="7">
        <f t="shared" si="65"/>
        <v>0</v>
      </c>
      <c r="I243">
        <v>282561.41589399992</v>
      </c>
      <c r="J243" s="11">
        <f t="shared" si="66"/>
        <v>1.7185907554748376E-2</v>
      </c>
      <c r="K243" s="11">
        <f t="shared" si="67"/>
        <v>3.2089898908403337E-2</v>
      </c>
      <c r="L243" s="22">
        <v>2044.8943619728091</v>
      </c>
      <c r="M243" s="7" t="s">
        <v>561</v>
      </c>
      <c r="N243" t="s">
        <v>561</v>
      </c>
      <c r="O243" t="s">
        <v>561</v>
      </c>
      <c r="P243" t="s">
        <v>561</v>
      </c>
      <c r="Q243" s="24" t="s">
        <v>561</v>
      </c>
      <c r="R243" s="7">
        <f t="shared" si="71"/>
        <v>1</v>
      </c>
      <c r="S243">
        <v>277787.38753199991</v>
      </c>
      <c r="T243" s="11">
        <f t="shared" si="72"/>
        <v>0</v>
      </c>
      <c r="U243" s="11">
        <f t="shared" si="73"/>
        <v>1.4652180336909338E-2</v>
      </c>
      <c r="V243" s="22">
        <v>7223.628497838974</v>
      </c>
    </row>
    <row r="244" spans="1:22" x14ac:dyDescent="0.35">
      <c r="A244" s="14" t="s">
        <v>349</v>
      </c>
      <c r="B244" s="13" t="s">
        <v>573</v>
      </c>
      <c r="C244" s="13" t="s">
        <v>579</v>
      </c>
      <c r="D244" s="13">
        <v>1200</v>
      </c>
      <c r="E244" s="13">
        <v>3000</v>
      </c>
      <c r="F244">
        <f t="shared" si="64"/>
        <v>274875.52355999919</v>
      </c>
      <c r="G244" s="15">
        <v>271416.131230156</v>
      </c>
      <c r="H244" s="7">
        <f t="shared" si="65"/>
        <v>0</v>
      </c>
      <c r="I244">
        <v>282156.01324399991</v>
      </c>
      <c r="J244" s="11">
        <f t="shared" si="66"/>
        <v>2.6486496832125395E-2</v>
      </c>
      <c r="K244" s="11">
        <f t="shared" si="67"/>
        <v>3.9569799942129058E-2</v>
      </c>
      <c r="L244" s="22">
        <v>2291.331891059875</v>
      </c>
      <c r="M244" s="7" t="s">
        <v>561</v>
      </c>
      <c r="N244" t="s">
        <v>561</v>
      </c>
      <c r="O244" t="s">
        <v>561</v>
      </c>
      <c r="P244" t="s">
        <v>561</v>
      </c>
      <c r="Q244" s="24" t="s">
        <v>561</v>
      </c>
      <c r="R244" s="7">
        <f t="shared" si="71"/>
        <v>1</v>
      </c>
      <c r="S244">
        <v>274875.52355999919</v>
      </c>
      <c r="T244" s="11">
        <f t="shared" si="72"/>
        <v>0</v>
      </c>
      <c r="U244" s="11">
        <f t="shared" si="73"/>
        <v>1.2745713801769904E-2</v>
      </c>
      <c r="V244" s="22">
        <v>7244.7252380847931</v>
      </c>
    </row>
    <row r="245" spans="1:22" x14ac:dyDescent="0.35">
      <c r="A245" s="14" t="s">
        <v>351</v>
      </c>
      <c r="B245" s="13" t="s">
        <v>573</v>
      </c>
      <c r="C245" s="13" t="s">
        <v>579</v>
      </c>
      <c r="D245" s="13">
        <v>1200</v>
      </c>
      <c r="E245" s="13">
        <v>3000</v>
      </c>
      <c r="F245">
        <f t="shared" si="64"/>
        <v>274640.24610300013</v>
      </c>
      <c r="G245" s="15">
        <v>270201.24509264779</v>
      </c>
      <c r="H245" s="7">
        <f t="shared" si="65"/>
        <v>0</v>
      </c>
      <c r="I245">
        <v>281741.62202700018</v>
      </c>
      <c r="J245" s="11">
        <f t="shared" si="66"/>
        <v>2.5857011216545354E-2</v>
      </c>
      <c r="K245" s="11">
        <f t="shared" si="67"/>
        <v>4.2710302576123856E-2</v>
      </c>
      <c r="L245" s="22">
        <v>2188.6498548984532</v>
      </c>
      <c r="M245" s="7" t="s">
        <v>561</v>
      </c>
      <c r="N245" t="s">
        <v>561</v>
      </c>
      <c r="O245" t="s">
        <v>561</v>
      </c>
      <c r="P245" t="s">
        <v>561</v>
      </c>
      <c r="Q245" s="24" t="s">
        <v>561</v>
      </c>
      <c r="R245" s="7">
        <f t="shared" si="71"/>
        <v>1</v>
      </c>
      <c r="S245">
        <v>274640.24610300013</v>
      </c>
      <c r="T245" s="11">
        <f t="shared" si="72"/>
        <v>0</v>
      </c>
      <c r="U245" s="11">
        <f t="shared" si="73"/>
        <v>1.642849946465004E-2</v>
      </c>
      <c r="V245" s="22">
        <v>7219.1230463981628</v>
      </c>
    </row>
    <row r="246" spans="1:22" x14ac:dyDescent="0.35">
      <c r="A246" s="14" t="s">
        <v>352</v>
      </c>
      <c r="B246" s="13" t="s">
        <v>573</v>
      </c>
      <c r="C246" s="13" t="s">
        <v>579</v>
      </c>
      <c r="D246" s="13">
        <v>1200</v>
      </c>
      <c r="E246" s="13">
        <v>3000</v>
      </c>
      <c r="F246">
        <f t="shared" si="64"/>
        <v>230739.14583400011</v>
      </c>
      <c r="G246" s="15">
        <v>229412.95442774161</v>
      </c>
      <c r="H246" s="7">
        <f t="shared" si="65"/>
        <v>0</v>
      </c>
      <c r="I246">
        <v>233070.8571370001</v>
      </c>
      <c r="J246" s="11">
        <f t="shared" si="66"/>
        <v>1.0105399734284724E-2</v>
      </c>
      <c r="K246" s="11">
        <f t="shared" si="67"/>
        <v>1.594462142899877E-2</v>
      </c>
      <c r="L246" s="22">
        <v>1007.044013977051</v>
      </c>
      <c r="M246" s="7">
        <f t="shared" ref="M246:M252" si="74">IF(O246&lt;=0.0001,1,0)</f>
        <v>1</v>
      </c>
      <c r="N246">
        <v>230739.14583400011</v>
      </c>
      <c r="O246" s="11">
        <f t="shared" ref="O246:O252" si="75">(N246-$F246)/$F246</f>
        <v>0</v>
      </c>
      <c r="P246" s="11">
        <f t="shared" ref="P246:P252" si="76">(N246-$G246)/$G246</f>
        <v>5.7808043559118621E-3</v>
      </c>
      <c r="Q246" s="22">
        <v>5925.4972944259644</v>
      </c>
      <c r="R246" s="7">
        <f t="shared" si="71"/>
        <v>0</v>
      </c>
      <c r="S246">
        <v>230762.25185300011</v>
      </c>
      <c r="T246" s="11">
        <f t="shared" si="72"/>
        <v>1.0013913727765123E-4</v>
      </c>
      <c r="U246" s="11">
        <f t="shared" si="73"/>
        <v>5.8815223779504853E-3</v>
      </c>
      <c r="V246" s="22">
        <v>7225.4112129211426</v>
      </c>
    </row>
    <row r="247" spans="1:22" x14ac:dyDescent="0.35">
      <c r="A247" s="14" t="s">
        <v>353</v>
      </c>
      <c r="B247" s="13" t="s">
        <v>573</v>
      </c>
      <c r="C247" s="13" t="s">
        <v>579</v>
      </c>
      <c r="D247" s="13">
        <v>1200</v>
      </c>
      <c r="E247" s="13">
        <v>3000</v>
      </c>
      <c r="F247">
        <f t="shared" si="64"/>
        <v>240624.08675299969</v>
      </c>
      <c r="G247" s="15">
        <v>239661.60997731611</v>
      </c>
      <c r="H247" s="7">
        <f t="shared" si="65"/>
        <v>0</v>
      </c>
      <c r="I247">
        <v>241716.837463</v>
      </c>
      <c r="J247" s="11">
        <f t="shared" si="66"/>
        <v>4.541318887672373E-3</v>
      </c>
      <c r="K247" s="11">
        <f t="shared" si="67"/>
        <v>8.5755390105174481E-3</v>
      </c>
      <c r="L247" s="22">
        <v>1459.6901919841771</v>
      </c>
      <c r="M247" s="7">
        <f t="shared" si="74"/>
        <v>0</v>
      </c>
      <c r="N247">
        <v>240653.53332899991</v>
      </c>
      <c r="O247" s="11">
        <f t="shared" si="75"/>
        <v>1.2237584523467615E-4</v>
      </c>
      <c r="P247" s="11">
        <f t="shared" si="76"/>
        <v>4.1388495711836559E-3</v>
      </c>
      <c r="Q247" s="22">
        <v>7224.2255203723907</v>
      </c>
      <c r="R247" s="7">
        <f t="shared" si="71"/>
        <v>1</v>
      </c>
      <c r="S247">
        <v>240624.08675299969</v>
      </c>
      <c r="T247" s="11">
        <f t="shared" si="72"/>
        <v>0</v>
      </c>
      <c r="U247" s="11">
        <f t="shared" si="73"/>
        <v>4.0159822667246419E-3</v>
      </c>
      <c r="V247" s="22">
        <v>3361.2302520275111</v>
      </c>
    </row>
    <row r="248" spans="1:22" x14ac:dyDescent="0.35">
      <c r="A248" s="14" t="s">
        <v>354</v>
      </c>
      <c r="B248" s="13" t="s">
        <v>573</v>
      </c>
      <c r="C248" s="13" t="s">
        <v>579</v>
      </c>
      <c r="D248" s="13">
        <v>1200</v>
      </c>
      <c r="E248" s="13">
        <v>3000</v>
      </c>
      <c r="F248">
        <f t="shared" si="64"/>
        <v>237822.37736200009</v>
      </c>
      <c r="G248" s="15">
        <v>236446.46310908211</v>
      </c>
      <c r="H248" s="7">
        <f t="shared" si="65"/>
        <v>0</v>
      </c>
      <c r="I248">
        <v>240508.705426</v>
      </c>
      <c r="J248" s="11">
        <f t="shared" si="66"/>
        <v>1.1295522708155144E-2</v>
      </c>
      <c r="K248" s="11">
        <f t="shared" si="67"/>
        <v>1.7180389435742252E-2</v>
      </c>
      <c r="L248" s="22">
        <v>1329.838623046875</v>
      </c>
      <c r="M248" s="7">
        <f t="shared" si="74"/>
        <v>1</v>
      </c>
      <c r="N248">
        <v>237822.37736200009</v>
      </c>
      <c r="O248" s="11">
        <f t="shared" si="75"/>
        <v>0</v>
      </c>
      <c r="P248" s="11">
        <f t="shared" si="76"/>
        <v>5.8191365386726767E-3</v>
      </c>
      <c r="Q248" s="22">
        <v>7215.4425845146179</v>
      </c>
      <c r="R248" s="7">
        <f t="shared" si="71"/>
        <v>1</v>
      </c>
      <c r="S248">
        <v>237840.77423800019</v>
      </c>
      <c r="T248" s="11">
        <f t="shared" si="72"/>
        <v>7.7355529804069018E-5</v>
      </c>
      <c r="U248" s="11">
        <f t="shared" si="73"/>
        <v>5.896942210866697E-3</v>
      </c>
      <c r="V248" s="22">
        <v>3368.651948928833</v>
      </c>
    </row>
    <row r="249" spans="1:22" x14ac:dyDescent="0.35">
      <c r="A249" s="14" t="s">
        <v>355</v>
      </c>
      <c r="B249" s="13" t="s">
        <v>573</v>
      </c>
      <c r="C249" s="13" t="s">
        <v>579</v>
      </c>
      <c r="D249" s="13">
        <v>1200</v>
      </c>
      <c r="E249" s="13">
        <v>3000</v>
      </c>
      <c r="F249">
        <f t="shared" si="64"/>
        <v>230646.6473310001</v>
      </c>
      <c r="G249" s="15">
        <v>229616.2543816923</v>
      </c>
      <c r="H249" s="7">
        <f t="shared" si="65"/>
        <v>0</v>
      </c>
      <c r="I249">
        <v>234306.75333400001</v>
      </c>
      <c r="J249" s="11">
        <f t="shared" si="66"/>
        <v>1.5868888819126438E-2</v>
      </c>
      <c r="K249" s="11">
        <f t="shared" si="67"/>
        <v>2.0427556250049564E-2</v>
      </c>
      <c r="L249" s="22">
        <v>1464.161844968796</v>
      </c>
      <c r="M249" s="7">
        <f t="shared" si="74"/>
        <v>1</v>
      </c>
      <c r="N249">
        <v>230646.6473310001</v>
      </c>
      <c r="O249" s="11">
        <f t="shared" si="75"/>
        <v>0</v>
      </c>
      <c r="P249" s="11">
        <f t="shared" si="76"/>
        <v>4.4874564829150794E-3</v>
      </c>
      <c r="Q249" s="22">
        <v>7214.4355874061584</v>
      </c>
      <c r="R249" s="7">
        <f t="shared" si="71"/>
        <v>0</v>
      </c>
      <c r="S249">
        <v>230680.41551100009</v>
      </c>
      <c r="T249" s="11">
        <f t="shared" si="72"/>
        <v>1.4640655041269247E-4</v>
      </c>
      <c r="U249" s="11">
        <f t="shared" si="73"/>
        <v>4.634520026351562E-3</v>
      </c>
      <c r="V249" s="22">
        <v>3368.1557197570801</v>
      </c>
    </row>
    <row r="250" spans="1:22" x14ac:dyDescent="0.35">
      <c r="A250" s="14" t="s">
        <v>356</v>
      </c>
      <c r="B250" s="13" t="s">
        <v>573</v>
      </c>
      <c r="C250" s="13" t="s">
        <v>579</v>
      </c>
      <c r="D250" s="13">
        <v>1200</v>
      </c>
      <c r="E250" s="13">
        <v>3000</v>
      </c>
      <c r="F250">
        <f t="shared" si="64"/>
        <v>237460.22903300001</v>
      </c>
      <c r="G250" s="15">
        <v>236306.61632034931</v>
      </c>
      <c r="H250" s="7">
        <f t="shared" si="65"/>
        <v>0</v>
      </c>
      <c r="I250">
        <v>240168.612853</v>
      </c>
      <c r="J250" s="11">
        <f t="shared" si="66"/>
        <v>1.1405631296782764E-2</v>
      </c>
      <c r="K250" s="11">
        <f t="shared" si="67"/>
        <v>1.6343158701130796E-2</v>
      </c>
      <c r="L250" s="22">
        <v>1435.245025157928</v>
      </c>
      <c r="M250" s="7">
        <f t="shared" si="74"/>
        <v>0</v>
      </c>
      <c r="N250">
        <v>237497.01010700021</v>
      </c>
      <c r="O250" s="11">
        <f t="shared" si="75"/>
        <v>1.5489361797545837E-4</v>
      </c>
      <c r="P250" s="11">
        <f t="shared" si="76"/>
        <v>5.0374966439244726E-3</v>
      </c>
      <c r="Q250" s="22">
        <v>7225.022739648819</v>
      </c>
      <c r="R250" s="7">
        <f t="shared" si="71"/>
        <v>1</v>
      </c>
      <c r="S250">
        <v>237460.22903300001</v>
      </c>
      <c r="T250" s="11">
        <f t="shared" si="72"/>
        <v>0</v>
      </c>
      <c r="U250" s="11">
        <f t="shared" si="73"/>
        <v>4.8818468590266176E-3</v>
      </c>
      <c r="V250" s="22">
        <v>3355.417120218277</v>
      </c>
    </row>
    <row r="251" spans="1:22" x14ac:dyDescent="0.35">
      <c r="A251" s="14" t="s">
        <v>357</v>
      </c>
      <c r="B251" s="13" t="s">
        <v>573</v>
      </c>
      <c r="C251" s="13" t="s">
        <v>579</v>
      </c>
      <c r="D251" s="13">
        <v>1200</v>
      </c>
      <c r="E251" s="13">
        <v>3000</v>
      </c>
      <c r="F251">
        <f t="shared" si="64"/>
        <v>218893.05022000009</v>
      </c>
      <c r="G251" s="15">
        <v>218871.16554081711</v>
      </c>
      <c r="H251" s="7">
        <f t="shared" si="65"/>
        <v>1</v>
      </c>
      <c r="I251">
        <v>218893.05022000009</v>
      </c>
      <c r="J251" s="11">
        <f t="shared" si="66"/>
        <v>0</v>
      </c>
      <c r="K251" s="11">
        <f t="shared" si="67"/>
        <v>9.998886390041318E-5</v>
      </c>
      <c r="L251" s="22">
        <v>2680.5</v>
      </c>
      <c r="M251" s="7">
        <f t="shared" si="74"/>
        <v>1</v>
      </c>
      <c r="N251">
        <v>218894.971876</v>
      </c>
      <c r="O251" s="11">
        <f t="shared" si="75"/>
        <v>8.7789721874342663E-6</v>
      </c>
      <c r="P251" s="11">
        <f t="shared" si="76"/>
        <v>1.0876871388730268E-4</v>
      </c>
      <c r="Q251" s="22">
        <v>6249.3216092586517</v>
      </c>
      <c r="R251" s="7">
        <f t="shared" si="71"/>
        <v>0</v>
      </c>
      <c r="S251">
        <v>218927.42243100001</v>
      </c>
      <c r="T251" s="11">
        <f t="shared" si="72"/>
        <v>1.5702742031040097E-4</v>
      </c>
      <c r="U251" s="11">
        <f t="shared" si="73"/>
        <v>2.5703198520417222E-4</v>
      </c>
      <c r="V251" s="22">
        <v>2670.3189659118652</v>
      </c>
    </row>
    <row r="252" spans="1:22" x14ac:dyDescent="0.35">
      <c r="A252" s="14" t="s">
        <v>358</v>
      </c>
      <c r="B252" s="13" t="s">
        <v>573</v>
      </c>
      <c r="C252" s="13" t="s">
        <v>579</v>
      </c>
      <c r="D252" s="13">
        <v>1200</v>
      </c>
      <c r="E252" s="13">
        <v>3000</v>
      </c>
      <c r="F252">
        <f t="shared" si="64"/>
        <v>215506.05286799991</v>
      </c>
      <c r="G252" s="15">
        <v>215224.1129674293</v>
      </c>
      <c r="H252" s="7">
        <f t="shared" si="65"/>
        <v>0</v>
      </c>
      <c r="I252">
        <v>215842.09872599991</v>
      </c>
      <c r="J252" s="11">
        <f t="shared" si="66"/>
        <v>1.5593337334512357E-3</v>
      </c>
      <c r="K252" s="11">
        <f t="shared" si="67"/>
        <v>2.871359301009767E-3</v>
      </c>
      <c r="L252" s="22">
        <v>1881.182204961777</v>
      </c>
      <c r="M252" s="7">
        <f t="shared" si="74"/>
        <v>1</v>
      </c>
      <c r="N252">
        <v>215508.43280000001</v>
      </c>
      <c r="O252" s="11">
        <f t="shared" si="75"/>
        <v>1.1043457798170472E-5</v>
      </c>
      <c r="P252" s="11">
        <f t="shared" si="76"/>
        <v>1.3210407916223242E-3</v>
      </c>
      <c r="Q252" s="22">
        <v>6132.3079690933228</v>
      </c>
      <c r="R252" s="7">
        <f t="shared" si="71"/>
        <v>1</v>
      </c>
      <c r="S252">
        <v>215506.05286799991</v>
      </c>
      <c r="T252" s="11">
        <f t="shared" si="72"/>
        <v>0</v>
      </c>
      <c r="U252" s="11">
        <f t="shared" si="73"/>
        <v>1.3099828670836448E-3</v>
      </c>
      <c r="V252" s="22">
        <v>3982.724909305573</v>
      </c>
    </row>
    <row r="253" spans="1:22" x14ac:dyDescent="0.35">
      <c r="A253" s="14" t="s">
        <v>359</v>
      </c>
      <c r="B253" s="13" t="s">
        <v>573</v>
      </c>
      <c r="C253" s="13" t="s">
        <v>579</v>
      </c>
      <c r="D253" s="13">
        <v>1200</v>
      </c>
      <c r="E253" s="13">
        <v>3000</v>
      </c>
      <c r="F253">
        <f t="shared" si="64"/>
        <v>216467.14960800009</v>
      </c>
      <c r="G253" s="15">
        <v>216448.5421782097</v>
      </c>
      <c r="H253" s="7">
        <f t="shared" si="65"/>
        <v>1</v>
      </c>
      <c r="I253">
        <v>216470.18279199989</v>
      </c>
      <c r="J253" s="11">
        <f t="shared" si="66"/>
        <v>1.4012213886905942E-5</v>
      </c>
      <c r="K253" s="11">
        <f t="shared" si="67"/>
        <v>9.9980409072825081E-5</v>
      </c>
      <c r="L253" s="22">
        <v>2253.9</v>
      </c>
      <c r="M253" s="7" t="s">
        <v>561</v>
      </c>
      <c r="N253" t="s">
        <v>561</v>
      </c>
      <c r="O253" t="s">
        <v>561</v>
      </c>
      <c r="P253" t="s">
        <v>561</v>
      </c>
      <c r="Q253" s="24" t="s">
        <v>561</v>
      </c>
      <c r="R253" s="7">
        <f t="shared" si="71"/>
        <v>1</v>
      </c>
      <c r="S253">
        <v>216467.14960800009</v>
      </c>
      <c r="T253" s="11">
        <f t="shared" si="72"/>
        <v>0</v>
      </c>
      <c r="U253" s="11">
        <f t="shared" si="73"/>
        <v>8.5966990598059659E-5</v>
      </c>
      <c r="V253" s="22">
        <v>7217.604852437973</v>
      </c>
    </row>
    <row r="254" spans="1:22" x14ac:dyDescent="0.35">
      <c r="A254" s="14" t="s">
        <v>360</v>
      </c>
      <c r="B254" s="13" t="s">
        <v>573</v>
      </c>
      <c r="C254" s="13" t="s">
        <v>579</v>
      </c>
      <c r="D254" s="13">
        <v>1200</v>
      </c>
      <c r="E254" s="13">
        <v>3000</v>
      </c>
      <c r="F254">
        <f t="shared" si="64"/>
        <v>217774.63641000001</v>
      </c>
      <c r="G254" s="15">
        <v>217752.86460309729</v>
      </c>
      <c r="H254" s="7">
        <f t="shared" si="65"/>
        <v>1</v>
      </c>
      <c r="I254">
        <v>217774.63641000001</v>
      </c>
      <c r="J254" s="11">
        <f t="shared" si="66"/>
        <v>0</v>
      </c>
      <c r="K254" s="11">
        <f t="shared" si="67"/>
        <v>9.9984020611631119E-5</v>
      </c>
      <c r="L254" s="22">
        <v>2424.8000000000002</v>
      </c>
      <c r="M254" s="7">
        <f>IF(O254&lt;=0.0001,1,0)</f>
        <v>1</v>
      </c>
      <c r="N254">
        <v>217774.63641000009</v>
      </c>
      <c r="O254" s="11">
        <f>(N254-$F254)/$F254</f>
        <v>4.0092589664951381E-16</v>
      </c>
      <c r="P254" s="11">
        <f>(N254-$G254)/$G254</f>
        <v>9.9984020612032084E-5</v>
      </c>
      <c r="Q254" s="22">
        <v>3085.7707920074458</v>
      </c>
      <c r="R254" s="7">
        <f t="shared" si="71"/>
        <v>1</v>
      </c>
      <c r="S254">
        <v>217774.63641000001</v>
      </c>
      <c r="T254" s="11">
        <f t="shared" si="72"/>
        <v>0</v>
      </c>
      <c r="U254" s="11">
        <f t="shared" si="73"/>
        <v>9.9984020611631119E-5</v>
      </c>
      <c r="V254" s="22">
        <v>4582.8501007556924</v>
      </c>
    </row>
    <row r="255" spans="1:22" x14ac:dyDescent="0.35">
      <c r="A255" s="14" t="s">
        <v>362</v>
      </c>
      <c r="B255" s="13" t="s">
        <v>573</v>
      </c>
      <c r="C255" s="13" t="s">
        <v>579</v>
      </c>
      <c r="D255" s="13">
        <v>1200</v>
      </c>
      <c r="E255" s="13">
        <v>3000</v>
      </c>
      <c r="F255">
        <f t="shared" si="64"/>
        <v>213795.05357400031</v>
      </c>
      <c r="G255" s="15">
        <v>213773.68125829901</v>
      </c>
      <c r="H255" s="7">
        <f t="shared" si="65"/>
        <v>1</v>
      </c>
      <c r="I255">
        <v>213795.05357400031</v>
      </c>
      <c r="J255" s="11">
        <f t="shared" si="66"/>
        <v>0</v>
      </c>
      <c r="K255" s="11">
        <f t="shared" si="67"/>
        <v>9.9976365544630257E-5</v>
      </c>
      <c r="L255" s="22">
        <v>2999.9</v>
      </c>
      <c r="M255" s="7">
        <f>IF(O255&lt;=0.0001,1,0)</f>
        <v>0</v>
      </c>
      <c r="N255">
        <v>213833.15390899999</v>
      </c>
      <c r="O255" s="11">
        <f>(N255-$F255)/$F255</f>
        <v>1.7820961880433698E-4</v>
      </c>
      <c r="P255" s="11">
        <f>(N255-$G255)/$G255</f>
        <v>2.7820380109896037E-4</v>
      </c>
      <c r="Q255" s="22">
        <v>6820.281822681427</v>
      </c>
      <c r="R255" s="7">
        <f t="shared" si="71"/>
        <v>0</v>
      </c>
      <c r="S255">
        <v>213908.00508199999</v>
      </c>
      <c r="T255" s="11">
        <f t="shared" si="72"/>
        <v>5.2831675060518904E-4</v>
      </c>
      <c r="U255" s="11">
        <f t="shared" si="73"/>
        <v>6.2834593533840112E-4</v>
      </c>
      <c r="V255" s="22">
        <v>7225.6884722709656</v>
      </c>
    </row>
    <row r="256" spans="1:22" x14ac:dyDescent="0.35">
      <c r="A256" s="14" t="s">
        <v>417</v>
      </c>
      <c r="B256" s="13" t="s">
        <v>575</v>
      </c>
      <c r="C256" s="13" t="s">
        <v>579</v>
      </c>
      <c r="D256" s="13">
        <v>2000</v>
      </c>
      <c r="E256" s="13">
        <v>2000</v>
      </c>
      <c r="F256">
        <f t="shared" si="64"/>
        <v>1319744.4186509999</v>
      </c>
      <c r="G256" s="15">
        <v>1201079.085593557</v>
      </c>
      <c r="H256" s="7">
        <f t="shared" si="65"/>
        <v>1</v>
      </c>
      <c r="I256">
        <v>1319744.4186509999</v>
      </c>
      <c r="J256" s="11">
        <f t="shared" si="66"/>
        <v>0</v>
      </c>
      <c r="K256" s="11">
        <f t="shared" si="67"/>
        <v>9.8798933792773616E-2</v>
      </c>
      <c r="L256" s="22">
        <v>7204.3</v>
      </c>
      <c r="M256" s="7">
        <f>IF(O256&lt;=0.0001,1,0)</f>
        <v>0</v>
      </c>
      <c r="N256">
        <v>1324841.766426</v>
      </c>
      <c r="O256" s="11">
        <f>(N256-$F256)/$F256</f>
        <v>3.8623749439383815E-3</v>
      </c>
      <c r="P256" s="11">
        <f>(N256-$G256)/$G256</f>
        <v>0.10304290726308103</v>
      </c>
      <c r="Q256" s="22">
        <v>7539.1894981861115</v>
      </c>
      <c r="R256" s="7">
        <f t="shared" si="71"/>
        <v>0</v>
      </c>
      <c r="S256">
        <v>1346050.205968</v>
      </c>
      <c r="T256" s="11">
        <f t="shared" si="72"/>
        <v>1.9932486127798157E-2</v>
      </c>
      <c r="U256" s="11">
        <f t="shared" si="73"/>
        <v>0.12070072829783748</v>
      </c>
      <c r="V256" s="22">
        <v>7291.5511450767517</v>
      </c>
    </row>
    <row r="257" spans="1:22" x14ac:dyDescent="0.35">
      <c r="A257" s="14" t="s">
        <v>418</v>
      </c>
      <c r="B257" s="13" t="s">
        <v>575</v>
      </c>
      <c r="C257" s="13" t="s">
        <v>579</v>
      </c>
      <c r="D257" s="13">
        <v>2000</v>
      </c>
      <c r="E257" s="13">
        <v>2000</v>
      </c>
      <c r="F257">
        <f t="shared" si="64"/>
        <v>1300547.1906630001</v>
      </c>
      <c r="G257" s="15">
        <v>1199174.2826365761</v>
      </c>
      <c r="H257" s="7">
        <f t="shared" si="65"/>
        <v>0</v>
      </c>
      <c r="I257">
        <v>1308029.2992159999</v>
      </c>
      <c r="J257" s="11">
        <f t="shared" si="66"/>
        <v>5.7530465689488164E-3</v>
      </c>
      <c r="K257" s="11">
        <f t="shared" si="67"/>
        <v>9.0774975877641967E-2</v>
      </c>
      <c r="L257" s="22">
        <v>7203.7</v>
      </c>
      <c r="M257" s="7" t="s">
        <v>561</v>
      </c>
      <c r="N257" t="s">
        <v>561</v>
      </c>
      <c r="O257" t="s">
        <v>561</v>
      </c>
      <c r="P257" t="s">
        <v>561</v>
      </c>
      <c r="Q257" s="24" t="s">
        <v>561</v>
      </c>
      <c r="R257" s="7">
        <f t="shared" si="71"/>
        <v>1</v>
      </c>
      <c r="S257">
        <v>1300547.1906630001</v>
      </c>
      <c r="T257" s="11">
        <f t="shared" si="72"/>
        <v>0</v>
      </c>
      <c r="U257" s="11">
        <f t="shared" si="73"/>
        <v>8.4535592110547508E-2</v>
      </c>
      <c r="V257" s="22">
        <v>7277.288666009903</v>
      </c>
    </row>
    <row r="258" spans="1:22" x14ac:dyDescent="0.35">
      <c r="A258" s="14" t="s">
        <v>419</v>
      </c>
      <c r="B258" s="13" t="s">
        <v>575</v>
      </c>
      <c r="C258" s="13" t="s">
        <v>579</v>
      </c>
      <c r="D258" s="13">
        <v>2000</v>
      </c>
      <c r="E258" s="13">
        <v>2000</v>
      </c>
      <c r="F258">
        <f t="shared" ref="F258:F321" si="77">MIN(I258,N258,S258)</f>
        <v>1351191.4578750001</v>
      </c>
      <c r="G258" s="15">
        <v>1214417.6272702781</v>
      </c>
      <c r="H258" s="7">
        <f t="shared" ref="H258:H321" si="78">IF(J258&lt;=0.0001,1,0)</f>
        <v>0</v>
      </c>
      <c r="I258">
        <v>1352837.440048004</v>
      </c>
      <c r="J258" s="11">
        <f t="shared" ref="J258:J321" si="79">(I258-$F258)/$F258</f>
        <v>1.2181709434372595E-3</v>
      </c>
      <c r="K258" s="11">
        <f t="shared" ref="K258:K321" si="80">(I258-$G258)/$G258</f>
        <v>0.11398040482075412</v>
      </c>
      <c r="L258" s="22">
        <v>7205.7</v>
      </c>
      <c r="M258" s="7" t="s">
        <v>561</v>
      </c>
      <c r="N258" t="s">
        <v>561</v>
      </c>
      <c r="O258" t="s">
        <v>561</v>
      </c>
      <c r="P258" t="s">
        <v>561</v>
      </c>
      <c r="Q258" s="24" t="s">
        <v>561</v>
      </c>
      <c r="R258" s="7">
        <f t="shared" si="71"/>
        <v>1</v>
      </c>
      <c r="S258">
        <v>1351191.4578750001</v>
      </c>
      <c r="T258" s="11">
        <f t="shared" si="72"/>
        <v>0</v>
      </c>
      <c r="U258" s="11">
        <f t="shared" si="73"/>
        <v>0.11262503732933872</v>
      </c>
      <c r="V258" s="22">
        <v>7279.3632159233093</v>
      </c>
    </row>
    <row r="259" spans="1:22" x14ac:dyDescent="0.35">
      <c r="A259" s="14" t="s">
        <v>420</v>
      </c>
      <c r="B259" s="13" t="s">
        <v>575</v>
      </c>
      <c r="C259" s="13" t="s">
        <v>579</v>
      </c>
      <c r="D259" s="13">
        <v>2000</v>
      </c>
      <c r="E259" s="13">
        <v>2000</v>
      </c>
      <c r="F259">
        <f t="shared" si="77"/>
        <v>1331395.518932001</v>
      </c>
      <c r="G259" s="15">
        <v>1211154.654131802</v>
      </c>
      <c r="H259" s="7">
        <f t="shared" si="78"/>
        <v>0</v>
      </c>
      <c r="I259">
        <v>1340381.3461559999</v>
      </c>
      <c r="J259" s="11">
        <f t="shared" si="79"/>
        <v>6.7491794107937793E-3</v>
      </c>
      <c r="K259" s="11">
        <f t="shared" si="80"/>
        <v>0.1066971022927143</v>
      </c>
      <c r="L259" s="22">
        <v>7201.7</v>
      </c>
      <c r="M259" s="7" t="s">
        <v>561</v>
      </c>
      <c r="N259" t="s">
        <v>561</v>
      </c>
      <c r="O259" t="s">
        <v>561</v>
      </c>
      <c r="P259" t="s">
        <v>561</v>
      </c>
      <c r="Q259" s="24" t="s">
        <v>561</v>
      </c>
      <c r="R259" s="7">
        <f t="shared" si="71"/>
        <v>1</v>
      </c>
      <c r="S259">
        <v>1331395.518932001</v>
      </c>
      <c r="T259" s="11">
        <f t="shared" si="72"/>
        <v>0</v>
      </c>
      <c r="U259" s="11">
        <f t="shared" si="73"/>
        <v>9.9277878667272085E-2</v>
      </c>
      <c r="V259" s="22">
        <v>7281.4991767406464</v>
      </c>
    </row>
    <row r="260" spans="1:22" x14ac:dyDescent="0.35">
      <c r="A260" s="14" t="s">
        <v>421</v>
      </c>
      <c r="B260" s="13" t="s">
        <v>575</v>
      </c>
      <c r="C260" s="13" t="s">
        <v>579</v>
      </c>
      <c r="D260" s="13">
        <v>2000</v>
      </c>
      <c r="E260" s="13">
        <v>2000</v>
      </c>
      <c r="F260">
        <f t="shared" si="77"/>
        <v>1331426.098517</v>
      </c>
      <c r="G260" s="15">
        <v>1216140.9937924941</v>
      </c>
      <c r="H260" s="7">
        <f t="shared" si="78"/>
        <v>1</v>
      </c>
      <c r="I260">
        <v>1331426.098517</v>
      </c>
      <c r="J260" s="11">
        <f t="shared" si="79"/>
        <v>0</v>
      </c>
      <c r="K260" s="11">
        <f t="shared" si="80"/>
        <v>9.4795838075479436E-2</v>
      </c>
      <c r="L260" s="22">
        <v>7204.3</v>
      </c>
      <c r="M260" s="7" t="s">
        <v>561</v>
      </c>
      <c r="N260" t="s">
        <v>561</v>
      </c>
      <c r="O260" t="s">
        <v>561</v>
      </c>
      <c r="P260" t="s">
        <v>561</v>
      </c>
      <c r="Q260" s="24" t="s">
        <v>561</v>
      </c>
      <c r="R260" s="7">
        <f t="shared" si="71"/>
        <v>0</v>
      </c>
      <c r="S260">
        <v>1364550.161294</v>
      </c>
      <c r="T260" s="11">
        <f t="shared" si="72"/>
        <v>2.4878634130647604E-2</v>
      </c>
      <c r="U260" s="11">
        <f t="shared" si="73"/>
        <v>0.12203286317871501</v>
      </c>
      <c r="V260" s="22">
        <v>7273.5597310066223</v>
      </c>
    </row>
    <row r="261" spans="1:22" x14ac:dyDescent="0.35">
      <c r="A261" s="14" t="s">
        <v>422</v>
      </c>
      <c r="B261" s="13" t="s">
        <v>575</v>
      </c>
      <c r="C261" s="13" t="s">
        <v>579</v>
      </c>
      <c r="D261" s="13">
        <v>2000</v>
      </c>
      <c r="E261" s="13">
        <v>2000</v>
      </c>
      <c r="F261">
        <f t="shared" si="77"/>
        <v>845169.29049799999</v>
      </c>
      <c r="G261" s="15">
        <v>781339.43941921112</v>
      </c>
      <c r="H261" s="7">
        <f t="shared" si="78"/>
        <v>0</v>
      </c>
      <c r="I261">
        <v>856248.70548500016</v>
      </c>
      <c r="J261" s="11">
        <f t="shared" si="79"/>
        <v>1.3109107384239951E-2</v>
      </c>
      <c r="K261" s="11">
        <f t="shared" si="80"/>
        <v>9.5872884800837582E-2</v>
      </c>
      <c r="L261" s="22">
        <v>7202.2</v>
      </c>
      <c r="M261" s="7" t="s">
        <v>561</v>
      </c>
      <c r="N261" t="s">
        <v>561</v>
      </c>
      <c r="O261" t="s">
        <v>561</v>
      </c>
      <c r="P261" t="s">
        <v>561</v>
      </c>
      <c r="Q261" s="24" t="s">
        <v>561</v>
      </c>
      <c r="R261" s="7">
        <f t="shared" si="71"/>
        <v>1</v>
      </c>
      <c r="S261">
        <v>845169.29049799999</v>
      </c>
      <c r="T261" s="11">
        <f t="shared" si="72"/>
        <v>0</v>
      </c>
      <c r="U261" s="11">
        <f t="shared" si="73"/>
        <v>8.1692856981896586E-2</v>
      </c>
      <c r="V261" s="22">
        <v>7258.1488444805154</v>
      </c>
    </row>
    <row r="262" spans="1:22" x14ac:dyDescent="0.35">
      <c r="A262" s="14" t="s">
        <v>423</v>
      </c>
      <c r="B262" s="13" t="s">
        <v>575</v>
      </c>
      <c r="C262" s="13" t="s">
        <v>579</v>
      </c>
      <c r="D262" s="13">
        <v>2000</v>
      </c>
      <c r="E262" s="13">
        <v>2000</v>
      </c>
      <c r="F262">
        <f t="shared" si="77"/>
        <v>837467.16329399962</v>
      </c>
      <c r="G262" s="15">
        <v>781272.35974521458</v>
      </c>
      <c r="H262" s="7">
        <f t="shared" si="78"/>
        <v>1</v>
      </c>
      <c r="I262">
        <v>837467.16329399962</v>
      </c>
      <c r="J262" s="11">
        <f t="shared" si="79"/>
        <v>0</v>
      </c>
      <c r="K262" s="11">
        <f t="shared" si="80"/>
        <v>7.1927289949321987E-2</v>
      </c>
      <c r="L262" s="22">
        <v>7201.4</v>
      </c>
      <c r="M262" s="7" t="s">
        <v>561</v>
      </c>
      <c r="N262" t="s">
        <v>561</v>
      </c>
      <c r="O262" t="s">
        <v>561</v>
      </c>
      <c r="P262" t="s">
        <v>561</v>
      </c>
      <c r="Q262" s="24" t="s">
        <v>561</v>
      </c>
      <c r="R262" s="7">
        <f t="shared" si="71"/>
        <v>0</v>
      </c>
      <c r="S262">
        <v>845690.03849899955</v>
      </c>
      <c r="T262" s="11">
        <f t="shared" si="72"/>
        <v>9.818743427093898E-3</v>
      </c>
      <c r="U262" s="11">
        <f t="shared" si="73"/>
        <v>8.245226898183447E-2</v>
      </c>
      <c r="V262" s="22">
        <v>7253.0831608772278</v>
      </c>
    </row>
    <row r="263" spans="1:22" x14ac:dyDescent="0.35">
      <c r="A263" s="14" t="s">
        <v>424</v>
      </c>
      <c r="B263" s="13" t="s">
        <v>575</v>
      </c>
      <c r="C263" s="13" t="s">
        <v>579</v>
      </c>
      <c r="D263" s="13">
        <v>2000</v>
      </c>
      <c r="E263" s="13">
        <v>2000</v>
      </c>
      <c r="F263">
        <f t="shared" si="77"/>
        <v>847747.60207900009</v>
      </c>
      <c r="G263" s="15">
        <v>792106.58456522413</v>
      </c>
      <c r="H263" s="7">
        <f t="shared" si="78"/>
        <v>0</v>
      </c>
      <c r="I263">
        <v>851816.8807130002</v>
      </c>
      <c r="J263" s="11">
        <f t="shared" si="79"/>
        <v>4.8001063335604633E-3</v>
      </c>
      <c r="K263" s="11">
        <f t="shared" si="80"/>
        <v>7.5381643469799198E-2</v>
      </c>
      <c r="L263" s="22">
        <v>7205.4</v>
      </c>
      <c r="M263" s="7" t="s">
        <v>561</v>
      </c>
      <c r="N263" t="s">
        <v>561</v>
      </c>
      <c r="O263" t="s">
        <v>561</v>
      </c>
      <c r="P263" t="s">
        <v>561</v>
      </c>
      <c r="Q263" s="24" t="s">
        <v>561</v>
      </c>
      <c r="R263" s="7">
        <f t="shared" si="71"/>
        <v>1</v>
      </c>
      <c r="S263">
        <v>847747.60207900009</v>
      </c>
      <c r="T263" s="11">
        <f t="shared" si="72"/>
        <v>0</v>
      </c>
      <c r="U263" s="11">
        <f t="shared" si="73"/>
        <v>7.0244356754484649E-2</v>
      </c>
      <c r="V263" s="22">
        <v>7267.8962428569794</v>
      </c>
    </row>
    <row r="264" spans="1:22" x14ac:dyDescent="0.35">
      <c r="A264" s="14" t="s">
        <v>425</v>
      </c>
      <c r="B264" s="13" t="s">
        <v>575</v>
      </c>
      <c r="C264" s="13" t="s">
        <v>579</v>
      </c>
      <c r="D264" s="13">
        <v>2000</v>
      </c>
      <c r="E264" s="13">
        <v>2000</v>
      </c>
      <c r="F264">
        <f t="shared" si="77"/>
        <v>881604.89020899963</v>
      </c>
      <c r="G264" s="15">
        <v>819107.15343389474</v>
      </c>
      <c r="H264" s="7">
        <f t="shared" si="78"/>
        <v>1</v>
      </c>
      <c r="I264">
        <v>881604.89020899963</v>
      </c>
      <c r="J264" s="11">
        <f t="shared" si="79"/>
        <v>0</v>
      </c>
      <c r="K264" s="11">
        <f t="shared" si="80"/>
        <v>7.6299830264086085E-2</v>
      </c>
      <c r="L264" s="22">
        <v>7201.9</v>
      </c>
      <c r="M264" s="7" t="s">
        <v>561</v>
      </c>
      <c r="N264" t="s">
        <v>561</v>
      </c>
      <c r="O264" t="s">
        <v>561</v>
      </c>
      <c r="P264" t="s">
        <v>561</v>
      </c>
      <c r="Q264" s="24" t="s">
        <v>561</v>
      </c>
      <c r="R264" s="7">
        <f t="shared" si="71"/>
        <v>0</v>
      </c>
      <c r="S264">
        <v>888788.93634599983</v>
      </c>
      <c r="T264" s="11">
        <f t="shared" si="72"/>
        <v>8.148827458632971E-3</v>
      </c>
      <c r="U264" s="11">
        <f t="shared" si="73"/>
        <v>8.5070411874664076E-2</v>
      </c>
      <c r="V264" s="22">
        <v>7261.6929454803467</v>
      </c>
    </row>
    <row r="265" spans="1:22" x14ac:dyDescent="0.35">
      <c r="A265" s="14" t="s">
        <v>426</v>
      </c>
      <c r="B265" s="13" t="s">
        <v>575</v>
      </c>
      <c r="C265" s="13" t="s">
        <v>579</v>
      </c>
      <c r="D265" s="13">
        <v>2000</v>
      </c>
      <c r="E265" s="13">
        <v>2000</v>
      </c>
      <c r="F265">
        <f t="shared" si="77"/>
        <v>844993.13702499995</v>
      </c>
      <c r="G265" s="15">
        <v>790247.7699863665</v>
      </c>
      <c r="H265" s="7">
        <f t="shared" si="78"/>
        <v>1</v>
      </c>
      <c r="I265">
        <v>844993.13702499995</v>
      </c>
      <c r="J265" s="11">
        <f t="shared" si="79"/>
        <v>0</v>
      </c>
      <c r="K265" s="11">
        <f t="shared" si="80"/>
        <v>6.9276205663418605E-2</v>
      </c>
      <c r="L265" s="22">
        <v>7202.7</v>
      </c>
      <c r="M265" s="7" t="s">
        <v>561</v>
      </c>
      <c r="N265" t="s">
        <v>561</v>
      </c>
      <c r="O265" t="s">
        <v>561</v>
      </c>
      <c r="P265" t="s">
        <v>561</v>
      </c>
      <c r="Q265" s="24" t="s">
        <v>561</v>
      </c>
      <c r="R265" s="7">
        <f t="shared" si="71"/>
        <v>0</v>
      </c>
      <c r="S265">
        <v>857562.86323400028</v>
      </c>
      <c r="T265" s="11">
        <f t="shared" si="72"/>
        <v>1.4875536449035618E-2</v>
      </c>
      <c r="U265" s="11">
        <f t="shared" si="73"/>
        <v>8.5182262834851294E-2</v>
      </c>
      <c r="V265" s="22">
        <v>7265.9939813613892</v>
      </c>
    </row>
    <row r="266" spans="1:22" x14ac:dyDescent="0.35">
      <c r="A266" s="14" t="s">
        <v>427</v>
      </c>
      <c r="B266" s="13" t="s">
        <v>575</v>
      </c>
      <c r="C266" s="13" t="s">
        <v>579</v>
      </c>
      <c r="D266" s="13">
        <v>2000</v>
      </c>
      <c r="E266" s="13">
        <v>2000</v>
      </c>
      <c r="F266">
        <f t="shared" si="77"/>
        <v>298789.77270099998</v>
      </c>
      <c r="G266" s="15">
        <v>290669.20670391031</v>
      </c>
      <c r="H266" s="7">
        <f t="shared" si="78"/>
        <v>0</v>
      </c>
      <c r="I266">
        <v>303184.15491400007</v>
      </c>
      <c r="J266" s="11">
        <f t="shared" si="79"/>
        <v>1.4707271180254104E-2</v>
      </c>
      <c r="K266" s="11">
        <f t="shared" si="80"/>
        <v>4.3055638235659714E-2</v>
      </c>
      <c r="L266" s="22">
        <v>4276.5082311630249</v>
      </c>
      <c r="M266" s="7">
        <f t="shared" ref="M266:M280" si="81">IF(O266&lt;=0.0001,1,0)</f>
        <v>1</v>
      </c>
      <c r="N266">
        <v>298789.77270099998</v>
      </c>
      <c r="O266" s="11">
        <f t="shared" ref="O266:O280" si="82">(N266-$F266)/$F266</f>
        <v>0</v>
      </c>
      <c r="P266" s="11">
        <f t="shared" ref="P266:P280" si="83">(N266-$G266)/$G266</f>
        <v>2.7937482918036334E-2</v>
      </c>
      <c r="Q266" s="22">
        <v>7222.7757518291473</v>
      </c>
      <c r="R266" s="7">
        <f t="shared" si="71"/>
        <v>0</v>
      </c>
      <c r="S266">
        <v>300039.68874000001</v>
      </c>
      <c r="T266" s="11">
        <f t="shared" si="72"/>
        <v>4.183262458085632E-3</v>
      </c>
      <c r="U266" s="11">
        <f t="shared" si="73"/>
        <v>3.2237615199586393E-2</v>
      </c>
      <c r="V266" s="22">
        <v>7221.3058149814606</v>
      </c>
    </row>
    <row r="267" spans="1:22" x14ac:dyDescent="0.35">
      <c r="A267" s="14" t="s">
        <v>428</v>
      </c>
      <c r="B267" s="13" t="s">
        <v>575</v>
      </c>
      <c r="C267" s="13" t="s">
        <v>579</v>
      </c>
      <c r="D267" s="13">
        <v>2000</v>
      </c>
      <c r="E267" s="13">
        <v>2000</v>
      </c>
      <c r="F267">
        <f t="shared" si="77"/>
        <v>289633.43830799998</v>
      </c>
      <c r="G267" s="15">
        <v>281986.56468151259</v>
      </c>
      <c r="H267" s="7">
        <f t="shared" si="78"/>
        <v>0</v>
      </c>
      <c r="I267">
        <v>297899.65197699988</v>
      </c>
      <c r="J267" s="11">
        <f t="shared" si="79"/>
        <v>2.8540260120827287E-2</v>
      </c>
      <c r="K267" s="11">
        <f t="shared" si="80"/>
        <v>5.6432076164551301E-2</v>
      </c>
      <c r="L267" s="22">
        <v>5842.7129530906677</v>
      </c>
      <c r="M267" s="7">
        <f t="shared" si="81"/>
        <v>0</v>
      </c>
      <c r="N267">
        <v>290060.56544500001</v>
      </c>
      <c r="O267" s="11">
        <f t="shared" si="82"/>
        <v>1.4747162464916073E-3</v>
      </c>
      <c r="P267" s="11">
        <f t="shared" si="83"/>
        <v>2.863257252205095E-2</v>
      </c>
      <c r="Q267" s="22">
        <v>7216.7758169174194</v>
      </c>
      <c r="R267" s="7">
        <f t="shared" si="71"/>
        <v>1</v>
      </c>
      <c r="S267">
        <v>289633.43830799998</v>
      </c>
      <c r="T267" s="11">
        <f t="shared" si="72"/>
        <v>0</v>
      </c>
      <c r="U267" s="11">
        <f t="shared" si="73"/>
        <v>2.7117865119297743E-2</v>
      </c>
      <c r="V267" s="22">
        <v>7269.7554075717926</v>
      </c>
    </row>
    <row r="268" spans="1:22" x14ac:dyDescent="0.35">
      <c r="A268" s="14" t="s">
        <v>429</v>
      </c>
      <c r="B268" s="13" t="s">
        <v>575</v>
      </c>
      <c r="C268" s="13" t="s">
        <v>579</v>
      </c>
      <c r="D268" s="13">
        <v>2000</v>
      </c>
      <c r="E268" s="13">
        <v>2000</v>
      </c>
      <c r="F268">
        <f t="shared" si="77"/>
        <v>292743.18589800003</v>
      </c>
      <c r="G268" s="15">
        <v>285703.59698624391</v>
      </c>
      <c r="H268" s="7">
        <f t="shared" si="78"/>
        <v>0</v>
      </c>
      <c r="I268">
        <v>295264.30192599993</v>
      </c>
      <c r="J268" s="11">
        <f t="shared" si="79"/>
        <v>8.6120400045052795E-3</v>
      </c>
      <c r="K268" s="11">
        <f t="shared" si="80"/>
        <v>3.3463719185223798E-2</v>
      </c>
      <c r="L268" s="22">
        <v>5189.605700969696</v>
      </c>
      <c r="M268" s="7">
        <f t="shared" si="81"/>
        <v>0</v>
      </c>
      <c r="N268">
        <v>293176.699204</v>
      </c>
      <c r="O268" s="11">
        <f t="shared" si="82"/>
        <v>1.4808655739335539E-3</v>
      </c>
      <c r="P268" s="11">
        <f t="shared" si="83"/>
        <v>2.6156836303730231E-2</v>
      </c>
      <c r="Q268" s="22">
        <v>7215.4816777706146</v>
      </c>
      <c r="R268" s="7">
        <f t="shared" si="71"/>
        <v>1</v>
      </c>
      <c r="S268">
        <v>292743.18589800003</v>
      </c>
      <c r="T268" s="11">
        <f t="shared" si="72"/>
        <v>0</v>
      </c>
      <c r="U268" s="11">
        <f t="shared" si="73"/>
        <v>2.463948296771027E-2</v>
      </c>
      <c r="V268" s="22">
        <v>7242.3579428195953</v>
      </c>
    </row>
    <row r="269" spans="1:22" x14ac:dyDescent="0.35">
      <c r="A269" s="14" t="s">
        <v>430</v>
      </c>
      <c r="B269" s="13" t="s">
        <v>575</v>
      </c>
      <c r="C269" s="13" t="s">
        <v>579</v>
      </c>
      <c r="D269" s="13">
        <v>2000</v>
      </c>
      <c r="E269" s="13">
        <v>2000</v>
      </c>
      <c r="F269">
        <f t="shared" si="77"/>
        <v>290406.23653399991</v>
      </c>
      <c r="G269" s="15">
        <v>283031.22922063409</v>
      </c>
      <c r="H269" s="7">
        <f t="shared" si="78"/>
        <v>0</v>
      </c>
      <c r="I269">
        <v>303280.40149299992</v>
      </c>
      <c r="J269" s="11">
        <f t="shared" si="79"/>
        <v>4.4331571913376409E-2</v>
      </c>
      <c r="K269" s="11">
        <f t="shared" si="80"/>
        <v>7.1543950567309292E-2</v>
      </c>
      <c r="L269" s="22">
        <v>3261.668112039566</v>
      </c>
      <c r="M269" s="7">
        <f t="shared" si="81"/>
        <v>0</v>
      </c>
      <c r="N269">
        <v>292416.92939599999</v>
      </c>
      <c r="O269" s="11">
        <f t="shared" si="82"/>
        <v>6.923724800120391E-3</v>
      </c>
      <c r="P269" s="11">
        <f t="shared" si="83"/>
        <v>3.3161358911561564E-2</v>
      </c>
      <c r="Q269" s="22">
        <v>7216.023157119751</v>
      </c>
      <c r="R269" s="7">
        <f t="shared" si="71"/>
        <v>1</v>
      </c>
      <c r="S269">
        <v>290406.23653399991</v>
      </c>
      <c r="T269" s="11">
        <f t="shared" si="72"/>
        <v>0</v>
      </c>
      <c r="U269" s="11">
        <f t="shared" si="73"/>
        <v>2.6057221083602419E-2</v>
      </c>
      <c r="V269" s="22">
        <v>7243.0190558433533</v>
      </c>
    </row>
    <row r="270" spans="1:22" x14ac:dyDescent="0.35">
      <c r="A270" s="14" t="s">
        <v>431</v>
      </c>
      <c r="B270" s="13" t="s">
        <v>575</v>
      </c>
      <c r="C270" s="13" t="s">
        <v>579</v>
      </c>
      <c r="D270" s="13">
        <v>2000</v>
      </c>
      <c r="E270" s="13">
        <v>2000</v>
      </c>
      <c r="F270">
        <f t="shared" si="77"/>
        <v>290950.77898</v>
      </c>
      <c r="G270" s="15">
        <v>283007.39792058268</v>
      </c>
      <c r="H270" s="7">
        <f t="shared" si="78"/>
        <v>0</v>
      </c>
      <c r="I270">
        <v>292567.62249699997</v>
      </c>
      <c r="J270" s="11">
        <f t="shared" si="79"/>
        <v>5.5571032415455881E-3</v>
      </c>
      <c r="K270" s="11">
        <f t="shared" si="80"/>
        <v>3.3780829217404704E-2</v>
      </c>
      <c r="L270" s="22">
        <v>5671.7627110481262</v>
      </c>
      <c r="M270" s="7">
        <f t="shared" si="81"/>
        <v>0</v>
      </c>
      <c r="N270">
        <v>292174.3097039999</v>
      </c>
      <c r="O270" s="11">
        <f t="shared" si="82"/>
        <v>4.2052842349805169E-3</v>
      </c>
      <c r="P270" s="11">
        <f t="shared" si="83"/>
        <v>3.2391067692123132E-2</v>
      </c>
      <c r="Q270" s="22">
        <v>7216.2878661155701</v>
      </c>
      <c r="R270" s="7">
        <f t="shared" si="71"/>
        <v>1</v>
      </c>
      <c r="S270">
        <v>290950.77898</v>
      </c>
      <c r="T270" s="11">
        <f t="shared" si="72"/>
        <v>0</v>
      </c>
      <c r="U270" s="11">
        <f t="shared" si="73"/>
        <v>2.8067750588083185E-2</v>
      </c>
      <c r="V270" s="22">
        <v>7261.1183805465698</v>
      </c>
    </row>
    <row r="271" spans="1:22" x14ac:dyDescent="0.35">
      <c r="A271" s="14" t="s">
        <v>432</v>
      </c>
      <c r="B271" s="13" t="s">
        <v>575</v>
      </c>
      <c r="C271" s="13" t="s">
        <v>579</v>
      </c>
      <c r="D271" s="13">
        <v>2000</v>
      </c>
      <c r="E271" s="13">
        <v>2000</v>
      </c>
      <c r="F271">
        <f t="shared" si="77"/>
        <v>199245.88177199999</v>
      </c>
      <c r="G271" s="15">
        <v>196781.38692871461</v>
      </c>
      <c r="H271" s="7">
        <f t="shared" si="78"/>
        <v>0</v>
      </c>
      <c r="I271">
        <v>203571.11449000001</v>
      </c>
      <c r="J271" s="11">
        <f t="shared" si="79"/>
        <v>2.1708015641444683E-2</v>
      </c>
      <c r="K271" s="11">
        <f t="shared" si="80"/>
        <v>3.4503911509400145E-2</v>
      </c>
      <c r="L271" s="22">
        <v>2227.2192978858948</v>
      </c>
      <c r="M271" s="7">
        <f t="shared" si="81"/>
        <v>1</v>
      </c>
      <c r="N271">
        <v>199245.88177199999</v>
      </c>
      <c r="O271" s="11">
        <f t="shared" si="82"/>
        <v>0</v>
      </c>
      <c r="P271" s="11">
        <f t="shared" si="83"/>
        <v>1.2524024155689914E-2</v>
      </c>
      <c r="Q271" s="22">
        <v>7219.1991395950317</v>
      </c>
      <c r="R271" s="7">
        <f t="shared" si="71"/>
        <v>0</v>
      </c>
      <c r="S271">
        <v>199376.8140999999</v>
      </c>
      <c r="T271" s="11">
        <f t="shared" si="72"/>
        <v>6.571394441654549E-4</v>
      </c>
      <c r="U271" s="11">
        <f t="shared" si="73"/>
        <v>1.3189393630127754E-2</v>
      </c>
      <c r="V271" s="22">
        <v>7234.5891468524933</v>
      </c>
    </row>
    <row r="272" spans="1:22" x14ac:dyDescent="0.35">
      <c r="A272" s="14" t="s">
        <v>433</v>
      </c>
      <c r="B272" s="13" t="s">
        <v>575</v>
      </c>
      <c r="C272" s="13" t="s">
        <v>579</v>
      </c>
      <c r="D272" s="13">
        <v>2000</v>
      </c>
      <c r="E272" s="13">
        <v>2000</v>
      </c>
      <c r="F272">
        <f t="shared" si="77"/>
        <v>199428.27462800071</v>
      </c>
      <c r="G272" s="15">
        <v>196874.90835415159</v>
      </c>
      <c r="H272" s="7">
        <f t="shared" si="78"/>
        <v>0</v>
      </c>
      <c r="I272">
        <v>207037.28246799999</v>
      </c>
      <c r="J272" s="11">
        <f t="shared" si="79"/>
        <v>3.81541075566771E-2</v>
      </c>
      <c r="K272" s="11">
        <f t="shared" si="80"/>
        <v>5.1618432225845938E-2</v>
      </c>
      <c r="L272" s="22">
        <v>2203.8507239818568</v>
      </c>
      <c r="M272" s="7">
        <f t="shared" si="81"/>
        <v>1</v>
      </c>
      <c r="N272">
        <v>199428.27462800071</v>
      </c>
      <c r="O272" s="11">
        <f t="shared" si="82"/>
        <v>0</v>
      </c>
      <c r="P272" s="11">
        <f t="shared" si="83"/>
        <v>1.2969485523548596E-2</v>
      </c>
      <c r="Q272" s="22">
        <v>7213.5175733566284</v>
      </c>
      <c r="R272" s="7">
        <f t="shared" si="71"/>
        <v>0</v>
      </c>
      <c r="S272">
        <v>199692.27852500029</v>
      </c>
      <c r="T272" s="11">
        <f t="shared" si="72"/>
        <v>1.3238037459434194E-3</v>
      </c>
      <c r="U272" s="11">
        <f t="shared" si="73"/>
        <v>1.4310458323011048E-2</v>
      </c>
      <c r="V272" s="22">
        <v>7221.5816013813019</v>
      </c>
    </row>
    <row r="273" spans="1:22" x14ac:dyDescent="0.35">
      <c r="A273" s="14" t="s">
        <v>434</v>
      </c>
      <c r="B273" s="13" t="s">
        <v>575</v>
      </c>
      <c r="C273" s="13" t="s">
        <v>579</v>
      </c>
      <c r="D273" s="13">
        <v>2000</v>
      </c>
      <c r="E273" s="13">
        <v>2000</v>
      </c>
      <c r="F273">
        <f t="shared" si="77"/>
        <v>200048.6010329999</v>
      </c>
      <c r="G273" s="15">
        <v>197304.14557288241</v>
      </c>
      <c r="H273" s="7">
        <f t="shared" si="78"/>
        <v>0</v>
      </c>
      <c r="I273">
        <v>207319.79292800001</v>
      </c>
      <c r="J273" s="11">
        <f t="shared" si="79"/>
        <v>3.6347126935422365E-2</v>
      </c>
      <c r="K273" s="11">
        <f t="shared" si="80"/>
        <v>5.0762478031248011E-2</v>
      </c>
      <c r="L273" s="22">
        <v>2361.9209640026088</v>
      </c>
      <c r="M273" s="7">
        <f t="shared" si="81"/>
        <v>1</v>
      </c>
      <c r="N273">
        <v>200048.6010329999</v>
      </c>
      <c r="O273" s="11">
        <f t="shared" si="82"/>
        <v>0</v>
      </c>
      <c r="P273" s="11">
        <f t="shared" si="83"/>
        <v>1.3909770887726797E-2</v>
      </c>
      <c r="Q273" s="22">
        <v>7213.9229662418365</v>
      </c>
      <c r="R273" s="7">
        <f t="shared" si="71"/>
        <v>0</v>
      </c>
      <c r="S273">
        <v>200458.86019200101</v>
      </c>
      <c r="T273" s="11">
        <f t="shared" si="72"/>
        <v>2.0507974406351295E-3</v>
      </c>
      <c r="U273" s="11">
        <f t="shared" si="73"/>
        <v>1.5989094450898297E-2</v>
      </c>
      <c r="V273" s="22">
        <v>7214.515202999115</v>
      </c>
    </row>
    <row r="274" spans="1:22" x14ac:dyDescent="0.35">
      <c r="A274" s="14" t="s">
        <v>435</v>
      </c>
      <c r="B274" s="13" t="s">
        <v>575</v>
      </c>
      <c r="C274" s="13" t="s">
        <v>579</v>
      </c>
      <c r="D274" s="13">
        <v>2000</v>
      </c>
      <c r="E274" s="13">
        <v>2000</v>
      </c>
      <c r="F274">
        <f t="shared" si="77"/>
        <v>203366.47381800009</v>
      </c>
      <c r="G274" s="15">
        <v>200595.4367523393</v>
      </c>
      <c r="H274" s="7">
        <f t="shared" si="78"/>
        <v>0</v>
      </c>
      <c r="I274">
        <v>211300.84657500009</v>
      </c>
      <c r="J274" s="11">
        <f t="shared" si="79"/>
        <v>3.9015146440021173E-2</v>
      </c>
      <c r="K274" s="11">
        <f t="shared" si="80"/>
        <v>5.3368162287151057E-2</v>
      </c>
      <c r="L274" s="22">
        <v>2644.8531320095062</v>
      </c>
      <c r="M274" s="7">
        <f t="shared" si="81"/>
        <v>1</v>
      </c>
      <c r="N274">
        <v>203366.47381800009</v>
      </c>
      <c r="O274" s="11">
        <f t="shared" si="82"/>
        <v>0</v>
      </c>
      <c r="P274" s="11">
        <f t="shared" si="83"/>
        <v>1.3814058338136495E-2</v>
      </c>
      <c r="Q274" s="22">
        <v>7224.8856120109558</v>
      </c>
      <c r="R274" s="7">
        <f t="shared" si="71"/>
        <v>0</v>
      </c>
      <c r="S274">
        <v>203668.52224900021</v>
      </c>
      <c r="T274" s="11">
        <f t="shared" si="72"/>
        <v>1.4852420132456701E-3</v>
      </c>
      <c r="U274" s="11">
        <f t="shared" si="73"/>
        <v>1.5319817571199393E-2</v>
      </c>
      <c r="V274" s="22">
        <v>7215.5237345695496</v>
      </c>
    </row>
    <row r="275" spans="1:22" x14ac:dyDescent="0.35">
      <c r="A275" s="14" t="s">
        <v>436</v>
      </c>
      <c r="B275" s="13" t="s">
        <v>575</v>
      </c>
      <c r="C275" s="13" t="s">
        <v>579</v>
      </c>
      <c r="D275" s="13">
        <v>2000</v>
      </c>
      <c r="E275" s="13">
        <v>2000</v>
      </c>
      <c r="F275">
        <f t="shared" si="77"/>
        <v>201140.2660990002</v>
      </c>
      <c r="G275" s="15">
        <v>198322.68078358599</v>
      </c>
      <c r="H275" s="7">
        <f t="shared" si="78"/>
        <v>0</v>
      </c>
      <c r="I275">
        <v>210220.76732100011</v>
      </c>
      <c r="J275" s="11">
        <f t="shared" si="79"/>
        <v>4.5145118867102069E-2</v>
      </c>
      <c r="K275" s="11">
        <f t="shared" si="80"/>
        <v>5.9993574564462263E-2</v>
      </c>
      <c r="L275" s="22">
        <v>2299.2807340621948</v>
      </c>
      <c r="M275" s="7">
        <f t="shared" si="81"/>
        <v>1</v>
      </c>
      <c r="N275">
        <v>201140.2660990002</v>
      </c>
      <c r="O275" s="11">
        <f t="shared" si="82"/>
        <v>0</v>
      </c>
      <c r="P275" s="11">
        <f t="shared" si="83"/>
        <v>1.4207075581480363E-2</v>
      </c>
      <c r="Q275" s="22">
        <v>7211.1239867210388</v>
      </c>
      <c r="R275" s="7">
        <f t="shared" si="71"/>
        <v>0</v>
      </c>
      <c r="S275">
        <v>201367.8338600001</v>
      </c>
      <c r="T275" s="11">
        <f t="shared" si="72"/>
        <v>1.1313883858932994E-3</v>
      </c>
      <c r="U275" s="11">
        <f t="shared" si="73"/>
        <v>1.5354537687684059E-2</v>
      </c>
      <c r="V275" s="22">
        <v>7213.9873638153076</v>
      </c>
    </row>
    <row r="276" spans="1:22" x14ac:dyDescent="0.35">
      <c r="A276" s="14" t="s">
        <v>437</v>
      </c>
      <c r="B276" s="13" t="s">
        <v>575</v>
      </c>
      <c r="C276" s="13" t="s">
        <v>579</v>
      </c>
      <c r="D276" s="13">
        <v>2000</v>
      </c>
      <c r="E276" s="13">
        <v>2000</v>
      </c>
      <c r="F276">
        <f t="shared" si="77"/>
        <v>162644.60496600019</v>
      </c>
      <c r="G276" s="15">
        <v>161870.7720029538</v>
      </c>
      <c r="H276" s="7">
        <f t="shared" si="78"/>
        <v>0</v>
      </c>
      <c r="I276">
        <v>164489.99780300001</v>
      </c>
      <c r="J276" s="11">
        <f t="shared" si="79"/>
        <v>1.1346166922570749E-2</v>
      </c>
      <c r="K276" s="11">
        <f t="shared" si="80"/>
        <v>1.6180968112009791E-2</v>
      </c>
      <c r="L276" s="22">
        <v>1915.385226011276</v>
      </c>
      <c r="M276" s="7">
        <f t="shared" si="81"/>
        <v>1</v>
      </c>
      <c r="N276">
        <v>162644.60496600019</v>
      </c>
      <c r="O276" s="11">
        <f t="shared" si="82"/>
        <v>0</v>
      </c>
      <c r="P276" s="11">
        <f t="shared" si="83"/>
        <v>4.7805601559265075E-3</v>
      </c>
      <c r="Q276" s="22">
        <v>4941.0528099536896</v>
      </c>
      <c r="R276" s="7">
        <f t="shared" si="71"/>
        <v>0</v>
      </c>
      <c r="S276">
        <v>162799.68178899979</v>
      </c>
      <c r="T276" s="11">
        <f t="shared" si="72"/>
        <v>9.5347043962522272E-4</v>
      </c>
      <c r="U276" s="11">
        <f t="shared" si="73"/>
        <v>5.7385887183452559E-3</v>
      </c>
      <c r="V276" s="22">
        <v>5988.132707118988</v>
      </c>
    </row>
    <row r="277" spans="1:22" x14ac:dyDescent="0.35">
      <c r="A277" s="14" t="s">
        <v>438</v>
      </c>
      <c r="B277" s="13" t="s">
        <v>575</v>
      </c>
      <c r="C277" s="13" t="s">
        <v>579</v>
      </c>
      <c r="D277" s="13">
        <v>2000</v>
      </c>
      <c r="E277" s="13">
        <v>2000</v>
      </c>
      <c r="F277">
        <f t="shared" si="77"/>
        <v>158458.06367</v>
      </c>
      <c r="G277" s="15">
        <v>157997.22697841309</v>
      </c>
      <c r="H277" s="7">
        <f t="shared" si="78"/>
        <v>0</v>
      </c>
      <c r="I277">
        <v>159290.71298899999</v>
      </c>
      <c r="J277" s="11">
        <f t="shared" si="79"/>
        <v>5.2546983076483863E-3</v>
      </c>
      <c r="K277" s="11">
        <f t="shared" si="80"/>
        <v>8.1867640041785542E-3</v>
      </c>
      <c r="L277" s="22">
        <v>2293.0429930686951</v>
      </c>
      <c r="M277" s="7">
        <f t="shared" si="81"/>
        <v>1</v>
      </c>
      <c r="N277">
        <v>158458.06367</v>
      </c>
      <c r="O277" s="11">
        <f t="shared" si="82"/>
        <v>0</v>
      </c>
      <c r="P277" s="11">
        <f t="shared" si="83"/>
        <v>2.9167391124521147E-3</v>
      </c>
      <c r="Q277" s="22">
        <v>4879.2728085517883</v>
      </c>
      <c r="R277" s="7">
        <f t="shared" si="71"/>
        <v>1</v>
      </c>
      <c r="S277">
        <v>158472.95155</v>
      </c>
      <c r="T277" s="11">
        <f t="shared" si="72"/>
        <v>9.3954701043172015E-5</v>
      </c>
      <c r="U277" s="11">
        <f t="shared" si="73"/>
        <v>3.0109678548466182E-3</v>
      </c>
      <c r="V277" s="22">
        <v>7230.8150901794434</v>
      </c>
    </row>
    <row r="278" spans="1:22" x14ac:dyDescent="0.35">
      <c r="A278" s="14" t="s">
        <v>439</v>
      </c>
      <c r="B278" s="13" t="s">
        <v>575</v>
      </c>
      <c r="C278" s="13" t="s">
        <v>579</v>
      </c>
      <c r="D278" s="13">
        <v>2000</v>
      </c>
      <c r="E278" s="13">
        <v>2000</v>
      </c>
      <c r="F278">
        <f t="shared" si="77"/>
        <v>159599.99301800001</v>
      </c>
      <c r="G278" s="15">
        <v>159071.2703927501</v>
      </c>
      <c r="H278" s="7">
        <f t="shared" si="78"/>
        <v>0</v>
      </c>
      <c r="I278">
        <v>159982.6992210001</v>
      </c>
      <c r="J278" s="11">
        <f t="shared" si="79"/>
        <v>2.3979086450018438E-3</v>
      </c>
      <c r="K278" s="11">
        <f t="shared" si="80"/>
        <v>5.7296884974871324E-3</v>
      </c>
      <c r="L278" s="22">
        <v>2388.6130738258362</v>
      </c>
      <c r="M278" s="7">
        <f t="shared" si="81"/>
        <v>0</v>
      </c>
      <c r="N278">
        <v>159626.339913</v>
      </c>
      <c r="O278" s="11">
        <f t="shared" si="82"/>
        <v>1.6508080296108579E-4</v>
      </c>
      <c r="P278" s="11">
        <f t="shared" si="83"/>
        <v>3.4894391606946182E-3</v>
      </c>
      <c r="Q278" s="22">
        <v>7213.9382526874542</v>
      </c>
      <c r="R278" s="7">
        <f t="shared" si="71"/>
        <v>1</v>
      </c>
      <c r="S278">
        <v>159599.99301800001</v>
      </c>
      <c r="T278" s="11">
        <f t="shared" si="72"/>
        <v>0</v>
      </c>
      <c r="U278" s="11">
        <f t="shared" si="73"/>
        <v>3.3238096605658764E-3</v>
      </c>
      <c r="V278" s="22">
        <v>7227.6533944606781</v>
      </c>
    </row>
    <row r="279" spans="1:22" x14ac:dyDescent="0.35">
      <c r="A279" s="14" t="s">
        <v>440</v>
      </c>
      <c r="B279" s="13" t="s">
        <v>575</v>
      </c>
      <c r="C279" s="13" t="s">
        <v>579</v>
      </c>
      <c r="D279" s="13">
        <v>2000</v>
      </c>
      <c r="E279" s="13">
        <v>2000</v>
      </c>
      <c r="F279">
        <f t="shared" si="77"/>
        <v>159883.9809960002</v>
      </c>
      <c r="G279" s="15">
        <v>159221.25591234109</v>
      </c>
      <c r="H279" s="7">
        <f t="shared" si="78"/>
        <v>0</v>
      </c>
      <c r="I279">
        <v>160753.23316599999</v>
      </c>
      <c r="J279" s="11">
        <f t="shared" si="79"/>
        <v>5.436768365315689E-3</v>
      </c>
      <c r="K279" s="11">
        <f t="shared" si="80"/>
        <v>9.6216880395813952E-3</v>
      </c>
      <c r="L279" s="22">
        <v>2587.1828849315639</v>
      </c>
      <c r="M279" s="7">
        <f t="shared" si="81"/>
        <v>0</v>
      </c>
      <c r="N279">
        <v>159924.25905100029</v>
      </c>
      <c r="O279" s="11">
        <f t="shared" si="82"/>
        <v>2.51920516046554E-4</v>
      </c>
      <c r="P279" s="11">
        <f t="shared" si="83"/>
        <v>4.4152593485774199E-3</v>
      </c>
      <c r="Q279" s="22">
        <v>6535.0122044086456</v>
      </c>
      <c r="R279" s="7">
        <f t="shared" si="71"/>
        <v>1</v>
      </c>
      <c r="S279">
        <v>159883.9809960002</v>
      </c>
      <c r="T279" s="11">
        <f t="shared" si="72"/>
        <v>0</v>
      </c>
      <c r="U279" s="11">
        <f t="shared" si="73"/>
        <v>4.1622902662190641E-3</v>
      </c>
      <c r="V279" s="22">
        <v>7227.9063448905936</v>
      </c>
    </row>
    <row r="280" spans="1:22" x14ac:dyDescent="0.35">
      <c r="A280" s="14" t="s">
        <v>442</v>
      </c>
      <c r="B280" s="13" t="s">
        <v>575</v>
      </c>
      <c r="C280" s="13" t="s">
        <v>579</v>
      </c>
      <c r="D280" s="13">
        <v>2000</v>
      </c>
      <c r="E280" s="13">
        <v>2000</v>
      </c>
      <c r="F280">
        <f t="shared" si="77"/>
        <v>156374.44880100011</v>
      </c>
      <c r="G280" s="15">
        <v>155724.33335783231</v>
      </c>
      <c r="H280" s="7">
        <f t="shared" si="78"/>
        <v>0</v>
      </c>
      <c r="I280">
        <v>158049.72523099999</v>
      </c>
      <c r="J280" s="11">
        <f t="shared" si="79"/>
        <v>1.0713236355715725E-2</v>
      </c>
      <c r="K280" s="11">
        <f t="shared" si="80"/>
        <v>1.4932745724614942E-2</v>
      </c>
      <c r="L280" s="22">
        <v>2248.633141040802</v>
      </c>
      <c r="M280" s="7">
        <f t="shared" si="81"/>
        <v>1</v>
      </c>
      <c r="N280">
        <v>156374.44880100011</v>
      </c>
      <c r="O280" s="11">
        <f t="shared" si="82"/>
        <v>0</v>
      </c>
      <c r="P280" s="11">
        <f t="shared" si="83"/>
        <v>4.1747839220086947E-3</v>
      </c>
      <c r="Q280" s="22">
        <v>6840.7179601192474</v>
      </c>
      <c r="R280" s="7">
        <f t="shared" si="71"/>
        <v>1</v>
      </c>
      <c r="S280">
        <v>156375.1283779997</v>
      </c>
      <c r="T280" s="11">
        <f t="shared" si="72"/>
        <v>4.345831462913586E-6</v>
      </c>
      <c r="U280" s="11">
        <f t="shared" si="73"/>
        <v>4.1791478963789271E-3</v>
      </c>
      <c r="V280" s="22">
        <v>6519.8015682697296</v>
      </c>
    </row>
    <row r="281" spans="1:22" x14ac:dyDescent="0.35">
      <c r="A281" s="14" t="s">
        <v>201</v>
      </c>
      <c r="B281" s="13" t="s">
        <v>570</v>
      </c>
      <c r="C281" s="13" t="s">
        <v>580</v>
      </c>
      <c r="D281" s="13">
        <v>800</v>
      </c>
      <c r="E281" s="13">
        <v>4400</v>
      </c>
      <c r="F281">
        <f t="shared" si="77"/>
        <v>22769637.604917999</v>
      </c>
      <c r="G281" s="15">
        <v>22016754.678558279</v>
      </c>
      <c r="H281" s="7">
        <f t="shared" si="78"/>
        <v>0</v>
      </c>
      <c r="I281">
        <v>23434743.776182</v>
      </c>
      <c r="J281" s="11">
        <f t="shared" si="79"/>
        <v>2.9210222086290226E-2</v>
      </c>
      <c r="K281" s="11">
        <f t="shared" si="80"/>
        <v>6.4405000570073798E-2</v>
      </c>
      <c r="L281" s="22">
        <v>2568.583070993423</v>
      </c>
      <c r="M281" s="7" t="s">
        <v>561</v>
      </c>
      <c r="N281" t="s">
        <v>561</v>
      </c>
      <c r="O281" t="s">
        <v>561</v>
      </c>
      <c r="P281" t="s">
        <v>561</v>
      </c>
      <c r="Q281" s="24" t="s">
        <v>561</v>
      </c>
      <c r="R281" s="7">
        <f t="shared" si="71"/>
        <v>1</v>
      </c>
      <c r="S281">
        <v>22769637.604917999</v>
      </c>
      <c r="T281" s="11">
        <f t="shared" si="72"/>
        <v>0</v>
      </c>
      <c r="U281" s="11">
        <f t="shared" si="73"/>
        <v>3.419590840483587E-2</v>
      </c>
      <c r="V281" s="22">
        <v>3383.201369285584</v>
      </c>
    </row>
    <row r="282" spans="1:22" x14ac:dyDescent="0.35">
      <c r="A282" s="14" t="s">
        <v>200</v>
      </c>
      <c r="B282" s="13" t="s">
        <v>570</v>
      </c>
      <c r="C282" s="13" t="s">
        <v>580</v>
      </c>
      <c r="D282" s="13">
        <v>800</v>
      </c>
      <c r="E282" s="13">
        <v>4400</v>
      </c>
      <c r="F282">
        <f t="shared" si="77"/>
        <v>28257542.068812001</v>
      </c>
      <c r="G282" s="15">
        <v>26638520.13120611</v>
      </c>
      <c r="H282" s="7">
        <f t="shared" si="78"/>
        <v>0</v>
      </c>
      <c r="I282">
        <v>28710706.036996</v>
      </c>
      <c r="J282" s="11">
        <f t="shared" si="79"/>
        <v>1.6036920942397091E-2</v>
      </c>
      <c r="K282" s="11">
        <f t="shared" si="80"/>
        <v>7.7789077455635194E-2</v>
      </c>
      <c r="L282" s="22">
        <v>2543.2180080413818</v>
      </c>
      <c r="M282" s="7" t="s">
        <v>561</v>
      </c>
      <c r="N282" t="s">
        <v>561</v>
      </c>
      <c r="O282" t="s">
        <v>561</v>
      </c>
      <c r="P282" t="s">
        <v>561</v>
      </c>
      <c r="Q282" s="24" t="s">
        <v>561</v>
      </c>
      <c r="R282" s="7">
        <f t="shared" si="71"/>
        <v>1</v>
      </c>
      <c r="S282">
        <v>28257542.068812001</v>
      </c>
      <c r="T282" s="11">
        <f t="shared" si="72"/>
        <v>0</v>
      </c>
      <c r="U282" s="11">
        <f t="shared" si="73"/>
        <v>6.0777472983916357E-2</v>
      </c>
      <c r="V282" s="22">
        <v>1470.8367669582369</v>
      </c>
    </row>
    <row r="283" spans="1:22" x14ac:dyDescent="0.35">
      <c r="A283" s="14" t="s">
        <v>197</v>
      </c>
      <c r="B283" s="13" t="s">
        <v>570</v>
      </c>
      <c r="C283" s="13" t="s">
        <v>580</v>
      </c>
      <c r="D283" s="13">
        <v>800</v>
      </c>
      <c r="E283" s="13">
        <v>4400</v>
      </c>
      <c r="F283">
        <f t="shared" si="77"/>
        <v>24677572.108911011</v>
      </c>
      <c r="G283" s="15">
        <v>23186434.820458449</v>
      </c>
      <c r="H283" s="7">
        <f t="shared" si="78"/>
        <v>0</v>
      </c>
      <c r="I283">
        <v>25205038.201357</v>
      </c>
      <c r="J283" s="11">
        <f t="shared" si="79"/>
        <v>2.1374310654147435E-2</v>
      </c>
      <c r="K283" s="11">
        <f t="shared" si="80"/>
        <v>8.7059670731157182E-2</v>
      </c>
      <c r="L283" s="22">
        <v>2464.4169502258301</v>
      </c>
      <c r="M283" s="7" t="s">
        <v>561</v>
      </c>
      <c r="N283" t="s">
        <v>561</v>
      </c>
      <c r="O283" t="s">
        <v>561</v>
      </c>
      <c r="P283" t="s">
        <v>561</v>
      </c>
      <c r="Q283" s="24" t="s">
        <v>561</v>
      </c>
      <c r="R283" s="7">
        <f t="shared" si="71"/>
        <v>1</v>
      </c>
      <c r="S283">
        <v>24677572.108911011</v>
      </c>
      <c r="T283" s="11">
        <f t="shared" si="72"/>
        <v>0</v>
      </c>
      <c r="U283" s="11">
        <f t="shared" si="73"/>
        <v>6.4310761874303485E-2</v>
      </c>
      <c r="V283" s="22">
        <v>1434.6202282905581</v>
      </c>
    </row>
    <row r="284" spans="1:22" x14ac:dyDescent="0.35">
      <c r="A284" s="14" t="s">
        <v>195</v>
      </c>
      <c r="B284" s="13" t="s">
        <v>570</v>
      </c>
      <c r="C284" s="13" t="s">
        <v>580</v>
      </c>
      <c r="D284" s="13">
        <v>800</v>
      </c>
      <c r="E284" s="13">
        <v>4400</v>
      </c>
      <c r="F284">
        <f t="shared" si="77"/>
        <v>26421164.125789002</v>
      </c>
      <c r="G284" s="15">
        <v>24908896.666416049</v>
      </c>
      <c r="H284" s="7">
        <f t="shared" si="78"/>
        <v>0</v>
      </c>
      <c r="I284">
        <v>27397714.38551601</v>
      </c>
      <c r="J284" s="11">
        <f t="shared" si="79"/>
        <v>3.6960909635840901E-2</v>
      </c>
      <c r="K284" s="11">
        <f t="shared" si="80"/>
        <v>9.9916818975589669E-2</v>
      </c>
      <c r="L284" s="22">
        <v>2398.5891649723048</v>
      </c>
      <c r="M284" s="7" t="s">
        <v>561</v>
      </c>
      <c r="N284" t="s">
        <v>561</v>
      </c>
      <c r="O284" t="s">
        <v>561</v>
      </c>
      <c r="P284" t="s">
        <v>561</v>
      </c>
      <c r="Q284" s="24" t="s">
        <v>561</v>
      </c>
      <c r="R284" s="7">
        <f t="shared" si="71"/>
        <v>1</v>
      </c>
      <c r="S284">
        <v>26421164.125789002</v>
      </c>
      <c r="T284" s="11">
        <f t="shared" si="72"/>
        <v>0</v>
      </c>
      <c r="U284" s="11">
        <f t="shared" si="73"/>
        <v>6.0711940782664189E-2</v>
      </c>
      <c r="V284" s="22">
        <v>3413.0831592082968</v>
      </c>
    </row>
    <row r="285" spans="1:22" x14ac:dyDescent="0.35">
      <c r="A285" s="14" t="s">
        <v>194</v>
      </c>
      <c r="B285" s="13" t="s">
        <v>570</v>
      </c>
      <c r="C285" s="13" t="s">
        <v>580</v>
      </c>
      <c r="D285" s="13">
        <v>800</v>
      </c>
      <c r="E285" s="13">
        <v>4400</v>
      </c>
      <c r="F285">
        <f t="shared" si="77"/>
        <v>25720584.13054001</v>
      </c>
      <c r="G285" s="15">
        <v>23755755.500767291</v>
      </c>
      <c r="H285" s="7">
        <f t="shared" si="78"/>
        <v>0</v>
      </c>
      <c r="I285">
        <v>26165232.044457991</v>
      </c>
      <c r="J285" s="11">
        <f t="shared" si="79"/>
        <v>1.7287628914695478E-2</v>
      </c>
      <c r="K285" s="11">
        <f t="shared" si="80"/>
        <v>0.10142706442709751</v>
      </c>
      <c r="L285" s="22">
        <v>3718.8796939849849</v>
      </c>
      <c r="M285" s="7">
        <f>IF(O285&lt;=0.0001,1,0)</f>
        <v>0</v>
      </c>
      <c r="N285">
        <v>26093691.931026001</v>
      </c>
      <c r="O285" s="11">
        <f>(N285-$F285)/$F285</f>
        <v>1.4506194672420819E-2</v>
      </c>
      <c r="P285" s="11">
        <f>(N285-$G285)/$G285</f>
        <v>9.8415578918683369E-2</v>
      </c>
      <c r="Q285" s="22">
        <v>4567.7576775550697</v>
      </c>
      <c r="R285" s="7">
        <f t="shared" si="71"/>
        <v>1</v>
      </c>
      <c r="S285">
        <v>25720584.13054001</v>
      </c>
      <c r="T285" s="11">
        <f t="shared" si="72"/>
        <v>0</v>
      </c>
      <c r="U285" s="11">
        <f t="shared" si="73"/>
        <v>8.2709582934933676E-2</v>
      </c>
      <c r="V285" s="22">
        <v>7213.7325658798218</v>
      </c>
    </row>
    <row r="286" spans="1:22" x14ac:dyDescent="0.35">
      <c r="A286" s="14" t="s">
        <v>275</v>
      </c>
      <c r="B286" s="13" t="s">
        <v>570</v>
      </c>
      <c r="C286" s="13" t="s">
        <v>580</v>
      </c>
      <c r="D286" s="13">
        <v>800</v>
      </c>
      <c r="E286" s="13">
        <v>4400</v>
      </c>
      <c r="F286">
        <f t="shared" si="77"/>
        <v>18573734.326093871</v>
      </c>
      <c r="G286" s="15">
        <v>18571878.682782792</v>
      </c>
      <c r="H286" s="7">
        <f t="shared" si="78"/>
        <v>1</v>
      </c>
      <c r="I286">
        <v>18573734.326093871</v>
      </c>
      <c r="J286" s="11">
        <f t="shared" si="79"/>
        <v>0</v>
      </c>
      <c r="K286" s="11">
        <f t="shared" si="80"/>
        <v>9.9916833551140976E-5</v>
      </c>
      <c r="L286" s="22">
        <v>2282.9</v>
      </c>
      <c r="M286" s="7">
        <f>IF(O286&lt;=0.0001,1,0)</f>
        <v>1</v>
      </c>
      <c r="N286">
        <v>18574001.960107829</v>
      </c>
      <c r="O286" s="11">
        <f>(N286-$F286)/$F286</f>
        <v>1.4409273292031619E-5</v>
      </c>
      <c r="P286" s="11">
        <f>(N286-$G286)/$G286</f>
        <v>1.1432754657213371E-4</v>
      </c>
      <c r="Q286" s="22">
        <v>2661.78614401816</v>
      </c>
      <c r="R286" s="7">
        <f t="shared" si="71"/>
        <v>0</v>
      </c>
      <c r="S286">
        <v>18579183.645906001</v>
      </c>
      <c r="T286" s="11">
        <f t="shared" si="72"/>
        <v>2.9338848701386571E-4</v>
      </c>
      <c r="U286" s="11">
        <f t="shared" si="73"/>
        <v>3.9333463501362942E-4</v>
      </c>
      <c r="V286" s="22">
        <v>2706.4626965522771</v>
      </c>
    </row>
    <row r="287" spans="1:22" x14ac:dyDescent="0.35">
      <c r="A287" s="14" t="s">
        <v>207</v>
      </c>
      <c r="B287" s="13" t="s">
        <v>570</v>
      </c>
      <c r="C287" s="13" t="s">
        <v>580</v>
      </c>
      <c r="D287" s="13">
        <v>800</v>
      </c>
      <c r="E287" s="13">
        <v>4400</v>
      </c>
      <c r="F287">
        <f t="shared" si="77"/>
        <v>19230652.59384799</v>
      </c>
      <c r="G287" s="15">
        <v>19183895.17271053</v>
      </c>
      <c r="H287" s="7">
        <f t="shared" si="78"/>
        <v>1</v>
      </c>
      <c r="I287">
        <v>19230652.59384799</v>
      </c>
      <c r="J287" s="11">
        <f t="shared" si="79"/>
        <v>0</v>
      </c>
      <c r="K287" s="11">
        <f t="shared" si="80"/>
        <v>2.4373267637519689E-3</v>
      </c>
      <c r="L287" s="22">
        <v>1526.7867889404299</v>
      </c>
      <c r="M287" s="7" t="s">
        <v>561</v>
      </c>
      <c r="N287" t="s">
        <v>561</v>
      </c>
      <c r="O287" t="s">
        <v>561</v>
      </c>
      <c r="P287" t="s">
        <v>561</v>
      </c>
      <c r="Q287" s="24" t="s">
        <v>561</v>
      </c>
      <c r="R287" s="7">
        <f t="shared" si="71"/>
        <v>0</v>
      </c>
      <c r="S287">
        <v>19304465.79382199</v>
      </c>
      <c r="T287" s="11">
        <f t="shared" si="72"/>
        <v>3.838309678456454E-3</v>
      </c>
      <c r="U287" s="11">
        <f t="shared" si="73"/>
        <v>6.2849916571152929E-3</v>
      </c>
      <c r="V287" s="22">
        <v>1375.332257032394</v>
      </c>
    </row>
    <row r="288" spans="1:22" x14ac:dyDescent="0.35">
      <c r="A288" s="14" t="s">
        <v>202</v>
      </c>
      <c r="B288" s="13" t="s">
        <v>570</v>
      </c>
      <c r="C288" s="13" t="s">
        <v>580</v>
      </c>
      <c r="D288" s="13">
        <v>800</v>
      </c>
      <c r="E288" s="13">
        <v>4400</v>
      </c>
      <c r="F288">
        <f t="shared" si="77"/>
        <v>18616132.528728161</v>
      </c>
      <c r="G288" s="15">
        <v>18606305.33055542</v>
      </c>
      <c r="H288" s="7">
        <f t="shared" si="78"/>
        <v>0</v>
      </c>
      <c r="I288">
        <v>18623543.872097991</v>
      </c>
      <c r="J288" s="11">
        <f t="shared" si="79"/>
        <v>3.9811402064275788E-4</v>
      </c>
      <c r="K288" s="11">
        <f t="shared" si="80"/>
        <v>9.2648923234973305E-4</v>
      </c>
      <c r="L288" s="22">
        <v>7221.7</v>
      </c>
      <c r="M288" s="7">
        <f t="shared" ref="M288:M310" si="84">IF(O288&lt;=0.0001,1,0)</f>
        <v>1</v>
      </c>
      <c r="N288">
        <v>18616132.528728161</v>
      </c>
      <c r="O288" s="11">
        <f t="shared" ref="O288:O310" si="85">(N288-$F288)/$F288</f>
        <v>0</v>
      </c>
      <c r="P288" s="11">
        <f t="shared" ref="P288:P310" si="86">(N288-$G288)/$G288</f>
        <v>5.2816494183841739E-4</v>
      </c>
      <c r="Q288" s="22">
        <v>7239.3211195468903</v>
      </c>
      <c r="R288" s="7">
        <f t="shared" si="71"/>
        <v>0</v>
      </c>
      <c r="S288">
        <v>18639606.611350998</v>
      </c>
      <c r="T288" s="11">
        <f t="shared" si="72"/>
        <v>1.2609537768713448E-3</v>
      </c>
      <c r="U288" s="11">
        <f t="shared" si="73"/>
        <v>1.7897847102879845E-3</v>
      </c>
      <c r="V288" s="22">
        <v>1351.7155735492711</v>
      </c>
    </row>
    <row r="289" spans="1:22" x14ac:dyDescent="0.35">
      <c r="A289" s="14" t="s">
        <v>368</v>
      </c>
      <c r="B289" s="13" t="s">
        <v>570</v>
      </c>
      <c r="C289" s="13" t="s">
        <v>580</v>
      </c>
      <c r="D289" s="13">
        <v>800</v>
      </c>
      <c r="E289" s="13">
        <v>4400</v>
      </c>
      <c r="F289">
        <f t="shared" si="77"/>
        <v>18122316.375782002</v>
      </c>
      <c r="G289" s="15">
        <v>18120721.474593818</v>
      </c>
      <c r="H289" s="7">
        <f t="shared" si="78"/>
        <v>1</v>
      </c>
      <c r="I289">
        <v>18122326.221448049</v>
      </c>
      <c r="J289" s="11">
        <f t="shared" si="79"/>
        <v>5.4328960178308368E-7</v>
      </c>
      <c r="K289" s="11">
        <f t="shared" si="80"/>
        <v>8.8558662329239984E-5</v>
      </c>
      <c r="L289" s="22">
        <v>1939</v>
      </c>
      <c r="M289" s="7">
        <f t="shared" si="84"/>
        <v>1</v>
      </c>
      <c r="N289">
        <v>18122504.205998611</v>
      </c>
      <c r="O289" s="11">
        <f t="shared" si="85"/>
        <v>1.0364581034461519E-5</v>
      </c>
      <c r="P289" s="11">
        <f t="shared" si="86"/>
        <v>9.8380818186074898E-5</v>
      </c>
      <c r="Q289" s="22">
        <v>2407.7641682624699</v>
      </c>
      <c r="R289" s="7">
        <f t="shared" si="71"/>
        <v>1</v>
      </c>
      <c r="S289">
        <v>18122316.375782002</v>
      </c>
      <c r="T289" s="11">
        <f t="shared" si="72"/>
        <v>0</v>
      </c>
      <c r="U289" s="11">
        <f t="shared" si="73"/>
        <v>8.801532490964608E-5</v>
      </c>
      <c r="V289" s="22">
        <v>3750.5849153995509</v>
      </c>
    </row>
    <row r="290" spans="1:22" x14ac:dyDescent="0.35">
      <c r="A290" s="14" t="s">
        <v>277</v>
      </c>
      <c r="B290" s="13" t="s">
        <v>570</v>
      </c>
      <c r="C290" s="13" t="s">
        <v>580</v>
      </c>
      <c r="D290" s="13">
        <v>800</v>
      </c>
      <c r="E290" s="13">
        <v>4400</v>
      </c>
      <c r="F290">
        <f t="shared" si="77"/>
        <v>18244729.396306898</v>
      </c>
      <c r="G290" s="15">
        <v>18242907.98559729</v>
      </c>
      <c r="H290" s="7">
        <f t="shared" si="78"/>
        <v>1</v>
      </c>
      <c r="I290">
        <v>18244729.39630704</v>
      </c>
      <c r="J290" s="11">
        <f t="shared" si="79"/>
        <v>7.7590096441883953E-15</v>
      </c>
      <c r="K290" s="11">
        <f t="shared" si="80"/>
        <v>9.9842125563967343E-5</v>
      </c>
      <c r="L290" s="22">
        <v>2077.5</v>
      </c>
      <c r="M290" s="7">
        <f t="shared" si="84"/>
        <v>1</v>
      </c>
      <c r="N290">
        <v>18246537.98904033</v>
      </c>
      <c r="O290" s="11">
        <f t="shared" si="85"/>
        <v>9.9129600343521849E-5</v>
      </c>
      <c r="P290" s="11">
        <f t="shared" si="86"/>
        <v>1.9898162320973323E-4</v>
      </c>
      <c r="Q290" s="22">
        <v>3142.6340057849802</v>
      </c>
      <c r="R290" s="7">
        <f t="shared" si="71"/>
        <v>1</v>
      </c>
      <c r="S290">
        <v>18244729.396306898</v>
      </c>
      <c r="T290" s="11">
        <f t="shared" si="72"/>
        <v>0</v>
      </c>
      <c r="U290" s="11">
        <f t="shared" si="73"/>
        <v>9.9842125556207559E-5</v>
      </c>
      <c r="V290" s="22">
        <v>2795.4768514633179</v>
      </c>
    </row>
    <row r="291" spans="1:22" x14ac:dyDescent="0.35">
      <c r="A291" s="14" t="s">
        <v>294</v>
      </c>
      <c r="B291" s="13" t="s">
        <v>570</v>
      </c>
      <c r="C291" s="13" t="s">
        <v>580</v>
      </c>
      <c r="D291" s="13">
        <v>800</v>
      </c>
      <c r="E291" s="13">
        <v>4400</v>
      </c>
      <c r="F291">
        <f t="shared" si="77"/>
        <v>17524622.157414999</v>
      </c>
      <c r="G291" s="15">
        <v>17522933.337861288</v>
      </c>
      <c r="H291" s="7">
        <f t="shared" si="78"/>
        <v>1</v>
      </c>
      <c r="I291">
        <v>17524622.15741507</v>
      </c>
      <c r="J291" s="11">
        <f t="shared" si="79"/>
        <v>4.0389182166091833E-15</v>
      </c>
      <c r="K291" s="11">
        <f t="shared" si="80"/>
        <v>9.6377673830004126E-5</v>
      </c>
      <c r="L291" s="22">
        <v>1141.0999999999999</v>
      </c>
      <c r="M291" s="7">
        <f t="shared" si="84"/>
        <v>1</v>
      </c>
      <c r="N291">
        <v>17524622.157414999</v>
      </c>
      <c r="O291" s="11">
        <f t="shared" si="85"/>
        <v>0</v>
      </c>
      <c r="P291" s="11">
        <f t="shared" si="86"/>
        <v>9.6377673825964822E-5</v>
      </c>
      <c r="Q291" s="22">
        <v>2841.1256418228149</v>
      </c>
      <c r="R291" s="7">
        <f t="shared" si="71"/>
        <v>1</v>
      </c>
      <c r="S291">
        <v>17524773.28776399</v>
      </c>
      <c r="T291" s="11">
        <f t="shared" si="72"/>
        <v>8.6238863031723946E-6</v>
      </c>
      <c r="U291" s="11">
        <f t="shared" si="73"/>
        <v>1.0500239127923846E-4</v>
      </c>
      <c r="V291" s="22">
        <v>3100.681823015213</v>
      </c>
    </row>
    <row r="292" spans="1:22" x14ac:dyDescent="0.35">
      <c r="A292" s="14" t="s">
        <v>458</v>
      </c>
      <c r="B292" s="13" t="s">
        <v>570</v>
      </c>
      <c r="C292" s="13" t="s">
        <v>580</v>
      </c>
      <c r="D292" s="13">
        <v>800</v>
      </c>
      <c r="E292" s="13">
        <v>4400</v>
      </c>
      <c r="F292">
        <f t="shared" si="77"/>
        <v>18100220.61470899</v>
      </c>
      <c r="G292" s="15">
        <v>18099286.2128614</v>
      </c>
      <c r="H292" s="7">
        <f t="shared" si="78"/>
        <v>1</v>
      </c>
      <c r="I292">
        <v>18100220.61470902</v>
      </c>
      <c r="J292" s="11">
        <f t="shared" si="79"/>
        <v>1.6465170796579524E-15</v>
      </c>
      <c r="K292" s="11">
        <f t="shared" si="80"/>
        <v>5.162644739854851E-5</v>
      </c>
      <c r="L292" s="22">
        <v>1852.1</v>
      </c>
      <c r="M292" s="7">
        <f t="shared" si="84"/>
        <v>1</v>
      </c>
      <c r="N292">
        <v>18100220.61470899</v>
      </c>
      <c r="O292" s="11">
        <f t="shared" si="85"/>
        <v>0</v>
      </c>
      <c r="P292" s="11">
        <f t="shared" si="86"/>
        <v>5.1626447396901905E-5</v>
      </c>
      <c r="Q292" s="22">
        <v>2508.59291934967</v>
      </c>
      <c r="R292" s="7">
        <f t="shared" si="71"/>
        <v>1</v>
      </c>
      <c r="S292">
        <v>18100220.61470899</v>
      </c>
      <c r="T292" s="11">
        <f t="shared" si="72"/>
        <v>0</v>
      </c>
      <c r="U292" s="11">
        <f t="shared" si="73"/>
        <v>5.1626447396901905E-5</v>
      </c>
      <c r="V292" s="22">
        <v>3665.099946975708</v>
      </c>
    </row>
    <row r="293" spans="1:22" x14ac:dyDescent="0.35">
      <c r="A293" s="14" t="s">
        <v>305</v>
      </c>
      <c r="B293" s="13" t="s">
        <v>570</v>
      </c>
      <c r="C293" s="13" t="s">
        <v>580</v>
      </c>
      <c r="D293" s="13">
        <v>800</v>
      </c>
      <c r="E293" s="13">
        <v>4400</v>
      </c>
      <c r="F293">
        <f t="shared" si="77"/>
        <v>17259633.33981099</v>
      </c>
      <c r="G293" s="15">
        <v>17258037.01986045</v>
      </c>
      <c r="H293" s="7">
        <f t="shared" si="78"/>
        <v>1</v>
      </c>
      <c r="I293">
        <v>17259633.33981099</v>
      </c>
      <c r="J293" s="11">
        <f t="shared" si="79"/>
        <v>0</v>
      </c>
      <c r="K293" s="11">
        <f t="shared" si="80"/>
        <v>9.249719123342839E-5</v>
      </c>
      <c r="L293" s="22">
        <v>1667.5</v>
      </c>
      <c r="M293" s="7">
        <f t="shared" si="84"/>
        <v>1</v>
      </c>
      <c r="N293">
        <v>17259798.003397699</v>
      </c>
      <c r="O293" s="11">
        <f t="shared" si="85"/>
        <v>9.5403872995283232E-6</v>
      </c>
      <c r="P293" s="11">
        <f t="shared" si="86"/>
        <v>1.020384609919852E-4</v>
      </c>
      <c r="Q293" s="22">
        <v>2255.2047708034397</v>
      </c>
      <c r="R293" s="7">
        <f t="shared" si="71"/>
        <v>1</v>
      </c>
      <c r="S293">
        <v>17261322.921308901</v>
      </c>
      <c r="T293" s="11">
        <f t="shared" si="72"/>
        <v>9.7892085228379859E-5</v>
      </c>
      <c r="U293" s="11">
        <f t="shared" si="73"/>
        <v>1.9039833120473585E-4</v>
      </c>
      <c r="V293" s="22">
        <v>2200.2499241828914</v>
      </c>
    </row>
    <row r="294" spans="1:22" x14ac:dyDescent="0.35">
      <c r="A294" s="14" t="s">
        <v>376</v>
      </c>
      <c r="B294" s="13" t="s">
        <v>570</v>
      </c>
      <c r="C294" s="13" t="s">
        <v>580</v>
      </c>
      <c r="D294" s="13">
        <v>800</v>
      </c>
      <c r="E294" s="13">
        <v>4400</v>
      </c>
      <c r="F294">
        <f t="shared" si="77"/>
        <v>17273494.438492969</v>
      </c>
      <c r="G294" s="15">
        <v>17272029.531119529</v>
      </c>
      <c r="H294" s="7">
        <f t="shared" si="78"/>
        <v>1</v>
      </c>
      <c r="I294">
        <v>17273510.227924999</v>
      </c>
      <c r="J294" s="11">
        <f t="shared" si="79"/>
        <v>9.1408441334171115E-7</v>
      </c>
      <c r="K294" s="11">
        <f t="shared" si="80"/>
        <v>8.572801492736428E-5</v>
      </c>
      <c r="L294" s="22">
        <v>1290.2</v>
      </c>
      <c r="M294" s="7">
        <f t="shared" si="84"/>
        <v>1</v>
      </c>
      <c r="N294">
        <v>17273494.438492969</v>
      </c>
      <c r="O294" s="11">
        <f t="shared" si="85"/>
        <v>0</v>
      </c>
      <c r="P294" s="11">
        <f t="shared" si="86"/>
        <v>8.4813852987001523E-5</v>
      </c>
      <c r="Q294" s="22">
        <v>2797.3988046646118</v>
      </c>
      <c r="R294" s="7">
        <f t="shared" si="71"/>
        <v>1</v>
      </c>
      <c r="S294">
        <v>17273642.571554989</v>
      </c>
      <c r="T294" s="11">
        <f t="shared" si="72"/>
        <v>8.5757437528007276E-6</v>
      </c>
      <c r="U294" s="11">
        <f t="shared" si="73"/>
        <v>9.3390324081672155E-5</v>
      </c>
      <c r="V294" s="22">
        <v>3229.3763344287868</v>
      </c>
    </row>
    <row r="295" spans="1:22" x14ac:dyDescent="0.35">
      <c r="A295" s="14" t="s">
        <v>460</v>
      </c>
      <c r="B295" s="13" t="s">
        <v>570</v>
      </c>
      <c r="C295" s="13" t="s">
        <v>580</v>
      </c>
      <c r="D295" s="13">
        <v>800</v>
      </c>
      <c r="E295" s="13">
        <v>4400</v>
      </c>
      <c r="F295">
        <f t="shared" si="77"/>
        <v>16770133.769096989</v>
      </c>
      <c r="G295" s="15">
        <v>16769392.90309854</v>
      </c>
      <c r="H295" s="7">
        <f t="shared" si="78"/>
        <v>1</v>
      </c>
      <c r="I295">
        <v>16770241.60698699</v>
      </c>
      <c r="J295" s="11">
        <f t="shared" si="79"/>
        <v>6.4303535968050033E-6</v>
      </c>
      <c r="K295" s="11">
        <f t="shared" si="80"/>
        <v>5.0610293011442283E-5</v>
      </c>
      <c r="L295" s="22">
        <v>2024.1</v>
      </c>
      <c r="M295" s="7">
        <f t="shared" si="84"/>
        <v>1</v>
      </c>
      <c r="N295">
        <v>16770133.769096989</v>
      </c>
      <c r="O295" s="11">
        <f t="shared" si="85"/>
        <v>0</v>
      </c>
      <c r="P295" s="11">
        <f t="shared" si="86"/>
        <v>4.4179655323831765E-5</v>
      </c>
      <c r="Q295" s="22">
        <v>2669.8362696170811</v>
      </c>
      <c r="R295" s="7">
        <f t="shared" si="71"/>
        <v>0</v>
      </c>
      <c r="S295">
        <v>16773679.1604839</v>
      </c>
      <c r="T295" s="11">
        <f t="shared" si="72"/>
        <v>2.1141103796348427E-4</v>
      </c>
      <c r="U295" s="11">
        <f t="shared" si="73"/>
        <v>2.5560003335410488E-4</v>
      </c>
      <c r="V295" s="22">
        <v>2952.0686018466949</v>
      </c>
    </row>
    <row r="296" spans="1:22" x14ac:dyDescent="0.35">
      <c r="A296" s="14" t="s">
        <v>365</v>
      </c>
      <c r="B296" s="13" t="s">
        <v>570</v>
      </c>
      <c r="C296" s="13" t="s">
        <v>580</v>
      </c>
      <c r="D296" s="13">
        <v>800</v>
      </c>
      <c r="E296" s="13">
        <v>4400</v>
      </c>
      <c r="F296">
        <f t="shared" si="77"/>
        <v>16788412.618811991</v>
      </c>
      <c r="G296" s="15">
        <v>16787500.58996696</v>
      </c>
      <c r="H296" s="7">
        <f t="shared" si="78"/>
        <v>1</v>
      </c>
      <c r="I296">
        <v>16789010.53474899</v>
      </c>
      <c r="J296" s="11">
        <f t="shared" si="79"/>
        <v>3.5614798764776464E-5</v>
      </c>
      <c r="K296" s="11">
        <f t="shared" si="80"/>
        <v>8.9944585493105202E-5</v>
      </c>
      <c r="L296" s="22">
        <v>831.5</v>
      </c>
      <c r="M296" s="7">
        <f t="shared" si="84"/>
        <v>1</v>
      </c>
      <c r="N296">
        <v>16788426.054388989</v>
      </c>
      <c r="O296" s="11">
        <f t="shared" si="85"/>
        <v>8.0028870523722586E-7</v>
      </c>
      <c r="P296" s="11">
        <f t="shared" si="86"/>
        <v>5.5128184036021121E-5</v>
      </c>
      <c r="Q296" s="22">
        <v>2222.1936979293819</v>
      </c>
      <c r="R296" s="7">
        <f t="shared" si="71"/>
        <v>1</v>
      </c>
      <c r="S296">
        <v>16788412.618811991</v>
      </c>
      <c r="T296" s="11">
        <f t="shared" si="72"/>
        <v>0</v>
      </c>
      <c r="U296" s="11">
        <f t="shared" si="73"/>
        <v>5.4327851852817679E-5</v>
      </c>
      <c r="V296" s="22">
        <v>2605.1984083652501</v>
      </c>
    </row>
    <row r="297" spans="1:22" x14ac:dyDescent="0.35">
      <c r="A297" s="14" t="s">
        <v>393</v>
      </c>
      <c r="B297" s="13" t="s">
        <v>570</v>
      </c>
      <c r="C297" s="13" t="s">
        <v>580</v>
      </c>
      <c r="D297" s="13">
        <v>800</v>
      </c>
      <c r="E297" s="13">
        <v>4400</v>
      </c>
      <c r="F297">
        <f t="shared" si="77"/>
        <v>16119254.935223989</v>
      </c>
      <c r="G297" s="15">
        <v>16118673.26123889</v>
      </c>
      <c r="H297" s="7">
        <f t="shared" si="78"/>
        <v>1</v>
      </c>
      <c r="I297">
        <v>16119744.706811</v>
      </c>
      <c r="J297" s="11">
        <f t="shared" si="79"/>
        <v>3.0384257149517394E-5</v>
      </c>
      <c r="K297" s="11">
        <f t="shared" si="80"/>
        <v>6.6472317835639355E-5</v>
      </c>
      <c r="L297" s="22">
        <v>796</v>
      </c>
      <c r="M297" s="7">
        <f t="shared" si="84"/>
        <v>1</v>
      </c>
      <c r="N297">
        <v>16119254.935223989</v>
      </c>
      <c r="O297" s="11">
        <f t="shared" si="85"/>
        <v>0</v>
      </c>
      <c r="P297" s="11">
        <f t="shared" si="86"/>
        <v>3.608696421052164E-5</v>
      </c>
      <c r="Q297" s="22">
        <v>1898.384365558624</v>
      </c>
      <c r="R297" s="7">
        <f t="shared" si="71"/>
        <v>1</v>
      </c>
      <c r="S297">
        <v>16119254.935223989</v>
      </c>
      <c r="T297" s="11">
        <f t="shared" si="72"/>
        <v>0</v>
      </c>
      <c r="U297" s="11">
        <f t="shared" si="73"/>
        <v>3.608696421052164E-5</v>
      </c>
      <c r="V297" s="22">
        <v>2544.4616618156429</v>
      </c>
    </row>
    <row r="298" spans="1:22" x14ac:dyDescent="0.35">
      <c r="A298" s="14" t="s">
        <v>301</v>
      </c>
      <c r="B298" s="13" t="s">
        <v>570</v>
      </c>
      <c r="C298" s="13" t="s">
        <v>580</v>
      </c>
      <c r="D298" s="13">
        <v>800</v>
      </c>
      <c r="E298" s="13">
        <v>4400</v>
      </c>
      <c r="F298">
        <f t="shared" si="77"/>
        <v>16083272.091545001</v>
      </c>
      <c r="G298" s="15">
        <v>16081891.191617129</v>
      </c>
      <c r="H298" s="7">
        <f t="shared" si="78"/>
        <v>1</v>
      </c>
      <c r="I298">
        <v>16083418.048766039</v>
      </c>
      <c r="J298" s="11">
        <f t="shared" si="79"/>
        <v>9.0750949314206688E-6</v>
      </c>
      <c r="K298" s="11">
        <f t="shared" si="80"/>
        <v>9.4942636454712067E-5</v>
      </c>
      <c r="L298" s="22">
        <v>749.4</v>
      </c>
      <c r="M298" s="7">
        <f t="shared" si="84"/>
        <v>1</v>
      </c>
      <c r="N298">
        <v>16083272.091545001</v>
      </c>
      <c r="O298" s="11">
        <f t="shared" si="85"/>
        <v>0</v>
      </c>
      <c r="P298" s="11">
        <f t="shared" si="86"/>
        <v>8.5866762274272303E-5</v>
      </c>
      <c r="Q298" s="22">
        <v>2010.9286482334139</v>
      </c>
      <c r="R298" s="7">
        <f t="shared" si="71"/>
        <v>1</v>
      </c>
      <c r="S298">
        <v>16083272.09472499</v>
      </c>
      <c r="T298" s="11">
        <f t="shared" si="72"/>
        <v>1.977203231440312E-10</v>
      </c>
      <c r="U298" s="11">
        <f t="shared" si="73"/>
        <v>8.5866960011573052E-5</v>
      </c>
      <c r="V298" s="22">
        <v>2356.313827514648</v>
      </c>
    </row>
    <row r="299" spans="1:22" x14ac:dyDescent="0.35">
      <c r="A299" s="14" t="s">
        <v>276</v>
      </c>
      <c r="B299" s="13" t="s">
        <v>570</v>
      </c>
      <c r="C299" s="13" t="s">
        <v>580</v>
      </c>
      <c r="D299" s="13">
        <v>800</v>
      </c>
      <c r="E299" s="13">
        <v>4400</v>
      </c>
      <c r="F299">
        <f t="shared" si="77"/>
        <v>16177393.975217991</v>
      </c>
      <c r="G299" s="15">
        <v>16176132.30662824</v>
      </c>
      <c r="H299" s="7">
        <f t="shared" si="78"/>
        <v>1</v>
      </c>
      <c r="I299">
        <v>16177747.59261799</v>
      </c>
      <c r="J299" s="11">
        <f t="shared" si="79"/>
        <v>2.1858736984558531E-5</v>
      </c>
      <c r="K299" s="11">
        <f t="shared" si="80"/>
        <v>9.9856131189549323E-5</v>
      </c>
      <c r="L299" s="22">
        <v>809.1</v>
      </c>
      <c r="M299" s="7">
        <f t="shared" si="84"/>
        <v>1</v>
      </c>
      <c r="N299">
        <v>16177405.66692899</v>
      </c>
      <c r="O299" s="11">
        <f t="shared" si="85"/>
        <v>7.2271906199143945E-7</v>
      </c>
      <c r="P299" s="11">
        <f t="shared" si="86"/>
        <v>7.8718464748694933E-5</v>
      </c>
      <c r="Q299" s="22">
        <v>1697.131347894669</v>
      </c>
      <c r="R299" s="7">
        <f t="shared" ref="R299:R362" si="87">IF(T299&lt;=0.0001,1,0)</f>
        <v>1</v>
      </c>
      <c r="S299">
        <v>16177393.975217991</v>
      </c>
      <c r="T299" s="11">
        <f t="shared" ref="T299:T362" si="88">(S299-$F299)/$F299</f>
        <v>0</v>
      </c>
      <c r="U299" s="11">
        <f t="shared" ref="U299:U362" si="89">(S299-$G299)/$G299</f>
        <v>7.7995689317732073E-5</v>
      </c>
      <c r="V299" s="22">
        <v>2252.2265348434448</v>
      </c>
    </row>
    <row r="300" spans="1:22" x14ac:dyDescent="0.35">
      <c r="A300" s="14" t="s">
        <v>287</v>
      </c>
      <c r="B300" s="13" t="s">
        <v>570</v>
      </c>
      <c r="C300" s="13" t="s">
        <v>580</v>
      </c>
      <c r="D300" s="13">
        <v>800</v>
      </c>
      <c r="E300" s="13">
        <v>4400</v>
      </c>
      <c r="F300">
        <f t="shared" si="77"/>
        <v>16402021.233857</v>
      </c>
      <c r="G300" s="15">
        <v>16400992.00158225</v>
      </c>
      <c r="H300" s="7">
        <f t="shared" si="78"/>
        <v>1</v>
      </c>
      <c r="I300">
        <v>16402587.346114989</v>
      </c>
      <c r="J300" s="11">
        <f t="shared" si="79"/>
        <v>3.4514786313076847E-5</v>
      </c>
      <c r="K300" s="11">
        <f t="shared" si="80"/>
        <v>9.727122192276319E-5</v>
      </c>
      <c r="L300" s="22">
        <v>1000.4</v>
      </c>
      <c r="M300" s="7">
        <f t="shared" si="84"/>
        <v>1</v>
      </c>
      <c r="N300">
        <v>16402337.45563701</v>
      </c>
      <c r="O300" s="11">
        <f t="shared" si="85"/>
        <v>1.9279439741049946E-5</v>
      </c>
      <c r="P300" s="11">
        <f t="shared" si="86"/>
        <v>8.2034919267689145E-5</v>
      </c>
      <c r="Q300" s="22">
        <v>1950.298004627228</v>
      </c>
      <c r="R300" s="7">
        <f t="shared" si="87"/>
        <v>1</v>
      </c>
      <c r="S300">
        <v>16402021.233857</v>
      </c>
      <c r="T300" s="11">
        <f t="shared" si="88"/>
        <v>0</v>
      </c>
      <c r="U300" s="11">
        <f t="shared" si="89"/>
        <v>6.2754269659478804E-5</v>
      </c>
      <c r="V300" s="22">
        <v>2410.1044526100159</v>
      </c>
    </row>
    <row r="301" spans="1:22" x14ac:dyDescent="0.35">
      <c r="A301" s="14" t="s">
        <v>532</v>
      </c>
      <c r="B301" s="13" t="s">
        <v>570</v>
      </c>
      <c r="C301" s="13" t="s">
        <v>580</v>
      </c>
      <c r="D301" s="13">
        <v>800</v>
      </c>
      <c r="E301" s="13">
        <v>4400</v>
      </c>
      <c r="F301">
        <f t="shared" si="77"/>
        <v>16010270.967971001</v>
      </c>
      <c r="G301" s="15">
        <v>16009972.515166851</v>
      </c>
      <c r="H301" s="7">
        <f t="shared" si="78"/>
        <v>1</v>
      </c>
      <c r="I301">
        <v>16010270.969350001</v>
      </c>
      <c r="J301" s="11">
        <f t="shared" si="79"/>
        <v>8.6132210114752052E-11</v>
      </c>
      <c r="K301" s="11">
        <f t="shared" si="80"/>
        <v>1.8641767365143565E-5</v>
      </c>
      <c r="L301" s="22">
        <v>557.6</v>
      </c>
      <c r="M301" s="7">
        <f t="shared" si="84"/>
        <v>1</v>
      </c>
      <c r="N301">
        <v>16010270.967971001</v>
      </c>
      <c r="O301" s="11">
        <f t="shared" si="85"/>
        <v>0</v>
      </c>
      <c r="P301" s="11">
        <f t="shared" si="86"/>
        <v>1.8641681231327801E-5</v>
      </c>
      <c r="Q301" s="22">
        <v>1642.6792387962339</v>
      </c>
      <c r="R301" s="7">
        <f t="shared" si="87"/>
        <v>1</v>
      </c>
      <c r="S301">
        <v>16010270.967971001</v>
      </c>
      <c r="T301" s="11">
        <f t="shared" si="88"/>
        <v>0</v>
      </c>
      <c r="U301" s="11">
        <f t="shared" si="89"/>
        <v>1.8641681231327801E-5</v>
      </c>
      <c r="V301" s="22">
        <v>2060.0810585021968</v>
      </c>
    </row>
    <row r="302" spans="1:22" x14ac:dyDescent="0.35">
      <c r="A302" s="14" t="s">
        <v>542</v>
      </c>
      <c r="B302" s="13" t="s">
        <v>570</v>
      </c>
      <c r="C302" s="13" t="s">
        <v>580</v>
      </c>
      <c r="D302" s="13">
        <v>800</v>
      </c>
      <c r="E302" s="13">
        <v>4400</v>
      </c>
      <c r="F302">
        <f t="shared" si="77"/>
        <v>16192929.96587399</v>
      </c>
      <c r="G302" s="15">
        <v>16192913.738303941</v>
      </c>
      <c r="H302" s="7">
        <f t="shared" si="78"/>
        <v>1</v>
      </c>
      <c r="I302">
        <v>16192929.96587399</v>
      </c>
      <c r="J302" s="11">
        <f t="shared" si="79"/>
        <v>0</v>
      </c>
      <c r="K302" s="11">
        <f t="shared" si="80"/>
        <v>1.002140214647027E-6</v>
      </c>
      <c r="L302" s="22">
        <v>588.79999999999995</v>
      </c>
      <c r="M302" s="7">
        <f t="shared" si="84"/>
        <v>1</v>
      </c>
      <c r="N302">
        <v>16192929.96587399</v>
      </c>
      <c r="O302" s="11">
        <f t="shared" si="85"/>
        <v>0</v>
      </c>
      <c r="P302" s="11">
        <f t="shared" si="86"/>
        <v>1.002140214647027E-6</v>
      </c>
      <c r="Q302" s="22">
        <v>1905.8875622749331</v>
      </c>
      <c r="R302" s="7">
        <f t="shared" si="87"/>
        <v>1</v>
      </c>
      <c r="S302">
        <v>16192929.96587399</v>
      </c>
      <c r="T302" s="11">
        <f t="shared" si="88"/>
        <v>0</v>
      </c>
      <c r="U302" s="11">
        <f t="shared" si="89"/>
        <v>1.002140214647027E-6</v>
      </c>
      <c r="V302" s="22">
        <v>2795.8548920154572</v>
      </c>
    </row>
    <row r="303" spans="1:22" x14ac:dyDescent="0.35">
      <c r="A303" s="14" t="s">
        <v>536</v>
      </c>
      <c r="B303" s="13" t="s">
        <v>570</v>
      </c>
      <c r="C303" s="13" t="s">
        <v>580</v>
      </c>
      <c r="D303" s="13">
        <v>800</v>
      </c>
      <c r="E303" s="13">
        <v>4400</v>
      </c>
      <c r="F303">
        <f t="shared" si="77"/>
        <v>15993763.95685499</v>
      </c>
      <c r="G303" s="15">
        <v>15993643.64050681</v>
      </c>
      <c r="H303" s="7">
        <f t="shared" si="78"/>
        <v>1</v>
      </c>
      <c r="I303">
        <v>15993763.95685499</v>
      </c>
      <c r="J303" s="11">
        <f t="shared" si="79"/>
        <v>0</v>
      </c>
      <c r="K303" s="11">
        <f t="shared" si="80"/>
        <v>7.522760346832526E-6</v>
      </c>
      <c r="L303" s="22">
        <v>632.6</v>
      </c>
      <c r="M303" s="7">
        <f t="shared" si="84"/>
        <v>1</v>
      </c>
      <c r="N303">
        <v>15993767.641516989</v>
      </c>
      <c r="O303" s="11">
        <f t="shared" si="85"/>
        <v>2.3038116663998691E-7</v>
      </c>
      <c r="P303" s="11">
        <f t="shared" si="86"/>
        <v>7.7531432465748176E-6</v>
      </c>
      <c r="Q303" s="22">
        <v>1709.0141921043401</v>
      </c>
      <c r="R303" s="7">
        <f t="shared" si="87"/>
        <v>1</v>
      </c>
      <c r="S303">
        <v>15993763.95685499</v>
      </c>
      <c r="T303" s="11">
        <f t="shared" si="88"/>
        <v>0</v>
      </c>
      <c r="U303" s="11">
        <f t="shared" si="89"/>
        <v>7.522760346832526E-6</v>
      </c>
      <c r="V303" s="22">
        <v>2232.9962015151982</v>
      </c>
    </row>
    <row r="304" spans="1:22" x14ac:dyDescent="0.35">
      <c r="A304" s="14" t="s">
        <v>544</v>
      </c>
      <c r="B304" s="13" t="s">
        <v>570</v>
      </c>
      <c r="C304" s="13" t="s">
        <v>580</v>
      </c>
      <c r="D304" s="13">
        <v>800</v>
      </c>
      <c r="E304" s="13">
        <v>4400</v>
      </c>
      <c r="F304">
        <f t="shared" si="77"/>
        <v>15656365.911721</v>
      </c>
      <c r="G304" s="15">
        <v>15656365.911720989</v>
      </c>
      <c r="H304" s="7">
        <f t="shared" si="78"/>
        <v>1</v>
      </c>
      <c r="I304">
        <v>15656365.911721</v>
      </c>
      <c r="J304" s="11">
        <f t="shared" si="79"/>
        <v>0</v>
      </c>
      <c r="K304" s="11">
        <f t="shared" si="80"/>
        <v>7.138227963245949E-16</v>
      </c>
      <c r="L304" s="22">
        <v>667.7</v>
      </c>
      <c r="M304" s="7">
        <f t="shared" si="84"/>
        <v>1</v>
      </c>
      <c r="N304">
        <v>15656365.911721</v>
      </c>
      <c r="O304" s="11">
        <f t="shared" si="85"/>
        <v>0</v>
      </c>
      <c r="P304" s="11">
        <f t="shared" si="86"/>
        <v>7.138227963245949E-16</v>
      </c>
      <c r="Q304" s="22">
        <v>1765.78470492363</v>
      </c>
      <c r="R304" s="7">
        <f t="shared" si="87"/>
        <v>1</v>
      </c>
      <c r="S304">
        <v>15656466.353698</v>
      </c>
      <c r="T304" s="11">
        <f t="shared" si="88"/>
        <v>6.4154081200075287E-6</v>
      </c>
      <c r="U304" s="11">
        <f t="shared" si="89"/>
        <v>6.4154081207213564E-6</v>
      </c>
      <c r="V304" s="22">
        <v>2138.6630895137791</v>
      </c>
    </row>
    <row r="305" spans="1:22" x14ac:dyDescent="0.35">
      <c r="A305" s="14" t="s">
        <v>369</v>
      </c>
      <c r="B305" s="13" t="s">
        <v>570</v>
      </c>
      <c r="C305" s="13" t="s">
        <v>580</v>
      </c>
      <c r="D305" s="13">
        <v>800</v>
      </c>
      <c r="E305" s="13">
        <v>4400</v>
      </c>
      <c r="F305">
        <f t="shared" si="77"/>
        <v>15844609.16312799</v>
      </c>
      <c r="G305" s="15">
        <v>15843480.89752759</v>
      </c>
      <c r="H305" s="7">
        <f t="shared" si="78"/>
        <v>1</v>
      </c>
      <c r="I305">
        <v>15844876.243873989</v>
      </c>
      <c r="J305" s="11">
        <f t="shared" si="79"/>
        <v>1.6856253331908869E-5</v>
      </c>
      <c r="K305" s="11">
        <f t="shared" si="80"/>
        <v>8.8070693266437572E-5</v>
      </c>
      <c r="L305" s="22">
        <v>372.5</v>
      </c>
      <c r="M305" s="7">
        <f t="shared" si="84"/>
        <v>1</v>
      </c>
      <c r="N305">
        <v>15844609.16312799</v>
      </c>
      <c r="O305" s="11">
        <f t="shared" si="85"/>
        <v>0</v>
      </c>
      <c r="P305" s="11">
        <f t="shared" si="86"/>
        <v>7.1213239546122329E-5</v>
      </c>
      <c r="Q305" s="22">
        <v>1709.371793031693</v>
      </c>
      <c r="R305" s="7">
        <f t="shared" si="87"/>
        <v>1</v>
      </c>
      <c r="S305">
        <v>15844609.16312799</v>
      </c>
      <c r="T305" s="11">
        <f t="shared" si="88"/>
        <v>0</v>
      </c>
      <c r="U305" s="11">
        <f t="shared" si="89"/>
        <v>7.1213239546122329E-5</v>
      </c>
      <c r="V305" s="22">
        <v>1956.1837065219879</v>
      </c>
    </row>
    <row r="306" spans="1:22" x14ac:dyDescent="0.35">
      <c r="A306" s="14" t="s">
        <v>539</v>
      </c>
      <c r="B306" s="13" t="s">
        <v>570</v>
      </c>
      <c r="C306" s="13" t="s">
        <v>580</v>
      </c>
      <c r="D306" s="13">
        <v>800</v>
      </c>
      <c r="E306" s="13">
        <v>4400</v>
      </c>
      <c r="F306">
        <f t="shared" si="77"/>
        <v>16011817.51401699</v>
      </c>
      <c r="G306" s="15">
        <v>16011718.24871611</v>
      </c>
      <c r="H306" s="7">
        <f t="shared" si="78"/>
        <v>1</v>
      </c>
      <c r="I306">
        <v>16011817.549650989</v>
      </c>
      <c r="J306" s="11">
        <f t="shared" si="79"/>
        <v>2.2254812623945844E-9</v>
      </c>
      <c r="K306" s="11">
        <f t="shared" si="80"/>
        <v>6.201766314934479E-6</v>
      </c>
      <c r="L306" s="22">
        <v>491.8</v>
      </c>
      <c r="M306" s="7">
        <f t="shared" si="84"/>
        <v>1</v>
      </c>
      <c r="N306">
        <v>16011817.51424899</v>
      </c>
      <c r="O306" s="11">
        <f t="shared" si="85"/>
        <v>1.4489292281417544E-11</v>
      </c>
      <c r="P306" s="11">
        <f t="shared" si="86"/>
        <v>6.1995553092572307E-6</v>
      </c>
      <c r="Q306" s="22">
        <v>1623.519641399384</v>
      </c>
      <c r="R306" s="7">
        <f t="shared" si="87"/>
        <v>1</v>
      </c>
      <c r="S306">
        <v>16011817.51401699</v>
      </c>
      <c r="T306" s="11">
        <f t="shared" si="88"/>
        <v>0</v>
      </c>
      <c r="U306" s="11">
        <f t="shared" si="89"/>
        <v>6.1995408198751227E-6</v>
      </c>
      <c r="V306" s="22">
        <v>1791.713051795959</v>
      </c>
    </row>
    <row r="307" spans="1:22" x14ac:dyDescent="0.35">
      <c r="A307" s="14" t="s">
        <v>469</v>
      </c>
      <c r="B307" s="13" t="s">
        <v>570</v>
      </c>
      <c r="C307" s="13" t="s">
        <v>580</v>
      </c>
      <c r="D307" s="13">
        <v>800</v>
      </c>
      <c r="E307" s="13">
        <v>4400</v>
      </c>
      <c r="F307">
        <f t="shared" si="77"/>
        <v>16361888.087544</v>
      </c>
      <c r="G307" s="15">
        <v>16361765.929041009</v>
      </c>
      <c r="H307" s="7">
        <f t="shared" si="78"/>
        <v>1</v>
      </c>
      <c r="I307">
        <v>16362411.92513499</v>
      </c>
      <c r="J307" s="11">
        <f t="shared" si="79"/>
        <v>3.201571775749865E-5</v>
      </c>
      <c r="K307" s="11">
        <f t="shared" si="80"/>
        <v>3.94820520463729E-5</v>
      </c>
      <c r="L307" s="22">
        <v>924.8</v>
      </c>
      <c r="M307" s="7">
        <f t="shared" si="84"/>
        <v>1</v>
      </c>
      <c r="N307">
        <v>16362337.940052999</v>
      </c>
      <c r="O307" s="11">
        <f t="shared" si="85"/>
        <v>2.7493924087029518E-5</v>
      </c>
      <c r="P307" s="11">
        <f t="shared" si="86"/>
        <v>3.4960224615761494E-5</v>
      </c>
      <c r="Q307" s="22">
        <v>1601.2541193962099</v>
      </c>
      <c r="R307" s="7">
        <f t="shared" si="87"/>
        <v>1</v>
      </c>
      <c r="S307">
        <v>16361888.087544</v>
      </c>
      <c r="T307" s="11">
        <f t="shared" si="88"/>
        <v>0</v>
      </c>
      <c r="U307" s="11">
        <f t="shared" si="89"/>
        <v>7.4660952564757684E-6</v>
      </c>
      <c r="V307" s="22">
        <v>2031.0565960407259</v>
      </c>
    </row>
    <row r="308" spans="1:22" x14ac:dyDescent="0.35">
      <c r="A308" s="14" t="s">
        <v>475</v>
      </c>
      <c r="B308" s="13" t="s">
        <v>570</v>
      </c>
      <c r="C308" s="13" t="s">
        <v>580</v>
      </c>
      <c r="D308" s="13">
        <v>800</v>
      </c>
      <c r="E308" s="13">
        <v>4400</v>
      </c>
      <c r="F308">
        <f t="shared" si="77"/>
        <v>15391605.909784</v>
      </c>
      <c r="G308" s="15">
        <v>15391168.70883419</v>
      </c>
      <c r="H308" s="7">
        <f t="shared" si="78"/>
        <v>1</v>
      </c>
      <c r="I308">
        <v>15391688.752666</v>
      </c>
      <c r="J308" s="11">
        <f t="shared" si="79"/>
        <v>5.382341679320742E-6</v>
      </c>
      <c r="K308" s="11">
        <f t="shared" si="80"/>
        <v>3.3788456331575496E-5</v>
      </c>
      <c r="L308" s="22">
        <v>502.8</v>
      </c>
      <c r="M308" s="7">
        <f t="shared" si="84"/>
        <v>1</v>
      </c>
      <c r="N308">
        <v>15391605.909784</v>
      </c>
      <c r="O308" s="11">
        <f t="shared" si="85"/>
        <v>0</v>
      </c>
      <c r="P308" s="11">
        <f t="shared" si="86"/>
        <v>2.8405961761662819E-5</v>
      </c>
      <c r="Q308" s="22">
        <v>1390.481639623642</v>
      </c>
      <c r="R308" s="7">
        <f t="shared" si="87"/>
        <v>1</v>
      </c>
      <c r="S308">
        <v>15391688.753551001</v>
      </c>
      <c r="T308" s="11">
        <f t="shared" si="88"/>
        <v>5.3823991782235588E-6</v>
      </c>
      <c r="U308" s="11">
        <f t="shared" si="89"/>
        <v>3.3788513832111621E-5</v>
      </c>
      <c r="V308" s="22">
        <v>1761.9213862419131</v>
      </c>
    </row>
    <row r="309" spans="1:22" x14ac:dyDescent="0.35">
      <c r="A309" s="14" t="s">
        <v>529</v>
      </c>
      <c r="B309" s="13" t="s">
        <v>570</v>
      </c>
      <c r="C309" s="13" t="s">
        <v>580</v>
      </c>
      <c r="D309" s="13">
        <v>800</v>
      </c>
      <c r="E309" s="13">
        <v>4400</v>
      </c>
      <c r="F309">
        <f t="shared" si="77"/>
        <v>15699970.269625001</v>
      </c>
      <c r="G309" s="15">
        <v>15699518.710251899</v>
      </c>
      <c r="H309" s="7">
        <f t="shared" si="78"/>
        <v>1</v>
      </c>
      <c r="I309">
        <v>15699970.269625001</v>
      </c>
      <c r="J309" s="11">
        <f t="shared" si="79"/>
        <v>0</v>
      </c>
      <c r="K309" s="11">
        <f t="shared" si="80"/>
        <v>2.8762625239355139E-5</v>
      </c>
      <c r="L309" s="22">
        <v>509.3</v>
      </c>
      <c r="M309" s="7">
        <f t="shared" si="84"/>
        <v>1</v>
      </c>
      <c r="N309">
        <v>15699970.269625001</v>
      </c>
      <c r="O309" s="11">
        <f t="shared" si="85"/>
        <v>0</v>
      </c>
      <c r="P309" s="11">
        <f t="shared" si="86"/>
        <v>2.8762625239355139E-5</v>
      </c>
      <c r="Q309" s="22">
        <v>1617.680235385895</v>
      </c>
      <c r="R309" s="7">
        <f t="shared" si="87"/>
        <v>1</v>
      </c>
      <c r="S309">
        <v>15699970.269625001</v>
      </c>
      <c r="T309" s="11">
        <f t="shared" si="88"/>
        <v>0</v>
      </c>
      <c r="U309" s="11">
        <f t="shared" si="89"/>
        <v>2.8762625239355139E-5</v>
      </c>
      <c r="V309" s="22">
        <v>2178.0901441574101</v>
      </c>
    </row>
    <row r="310" spans="1:22" x14ac:dyDescent="0.35">
      <c r="A310" s="14" t="s">
        <v>556</v>
      </c>
      <c r="B310" s="13" t="s">
        <v>570</v>
      </c>
      <c r="C310" s="13" t="s">
        <v>580</v>
      </c>
      <c r="D310" s="13">
        <v>800</v>
      </c>
      <c r="E310" s="13">
        <v>4400</v>
      </c>
      <c r="F310">
        <f t="shared" si="77"/>
        <v>16403296.17881394</v>
      </c>
      <c r="G310" s="15">
        <v>16403296.17881394</v>
      </c>
      <c r="H310" s="7">
        <f t="shared" si="78"/>
        <v>1</v>
      </c>
      <c r="I310">
        <v>16403296.17881394</v>
      </c>
      <c r="J310" s="11">
        <f t="shared" si="79"/>
        <v>0</v>
      </c>
      <c r="K310" s="11">
        <f t="shared" si="80"/>
        <v>0</v>
      </c>
      <c r="L310" s="22">
        <v>1041.5999999999999</v>
      </c>
      <c r="M310" s="7">
        <f t="shared" si="84"/>
        <v>1</v>
      </c>
      <c r="N310">
        <v>16403296.17881396</v>
      </c>
      <c r="O310" s="11">
        <f t="shared" si="85"/>
        <v>1.2490841120093715E-15</v>
      </c>
      <c r="P310" s="11">
        <f t="shared" si="86"/>
        <v>1.2490841120093715E-15</v>
      </c>
      <c r="Q310" s="22">
        <v>1599.480892896652</v>
      </c>
      <c r="R310" s="7">
        <f t="shared" si="87"/>
        <v>1</v>
      </c>
      <c r="S310">
        <v>16403296.17881399</v>
      </c>
      <c r="T310" s="11">
        <f t="shared" si="88"/>
        <v>3.0659337294775483E-15</v>
      </c>
      <c r="U310" s="11">
        <f t="shared" si="89"/>
        <v>3.0659337294775483E-15</v>
      </c>
      <c r="V310" s="22">
        <v>1823.739329338074</v>
      </c>
    </row>
    <row r="311" spans="1:22" x14ac:dyDescent="0.35">
      <c r="A311" s="14" t="s">
        <v>286</v>
      </c>
      <c r="B311" s="13" t="s">
        <v>567</v>
      </c>
      <c r="C311" s="13" t="s">
        <v>580</v>
      </c>
      <c r="D311" s="13">
        <v>1000</v>
      </c>
      <c r="E311" s="13">
        <v>1000</v>
      </c>
      <c r="F311">
        <f t="shared" si="77"/>
        <v>13426820.124794969</v>
      </c>
      <c r="G311" s="15">
        <v>13425509.228093481</v>
      </c>
      <c r="H311" s="7">
        <f t="shared" si="78"/>
        <v>1</v>
      </c>
      <c r="I311">
        <v>13426820.124794969</v>
      </c>
      <c r="J311" s="11">
        <f t="shared" si="79"/>
        <v>0</v>
      </c>
      <c r="K311" s="11">
        <f t="shared" si="80"/>
        <v>9.7642233096494673E-5</v>
      </c>
      <c r="L311" s="22">
        <v>777.5</v>
      </c>
      <c r="M311" s="7" t="s">
        <v>561</v>
      </c>
      <c r="N311" t="s">
        <v>561</v>
      </c>
      <c r="O311" t="s">
        <v>561</v>
      </c>
      <c r="P311" t="s">
        <v>561</v>
      </c>
      <c r="Q311" s="24" t="s">
        <v>561</v>
      </c>
      <c r="R311" s="7">
        <f t="shared" si="87"/>
        <v>0</v>
      </c>
      <c r="S311">
        <v>13722717.679930091</v>
      </c>
      <c r="T311" s="11">
        <f t="shared" si="88"/>
        <v>2.2037798405349533E-2</v>
      </c>
      <c r="U311" s="11">
        <f t="shared" si="89"/>
        <v>2.2137592458294855E-2</v>
      </c>
      <c r="V311" s="22">
        <v>3163.9527816772461</v>
      </c>
    </row>
    <row r="312" spans="1:22" x14ac:dyDescent="0.35">
      <c r="A312" s="14" t="s">
        <v>389</v>
      </c>
      <c r="B312" s="13" t="s">
        <v>567</v>
      </c>
      <c r="C312" s="13" t="s">
        <v>580</v>
      </c>
      <c r="D312" s="13">
        <v>1000</v>
      </c>
      <c r="E312" s="13">
        <v>1000</v>
      </c>
      <c r="F312">
        <f t="shared" si="77"/>
        <v>12438569.34689316</v>
      </c>
      <c r="G312" s="15">
        <v>12437695.43975517</v>
      </c>
      <c r="H312" s="7">
        <f t="shared" si="78"/>
        <v>1</v>
      </c>
      <c r="I312">
        <v>12438569.34689316</v>
      </c>
      <c r="J312" s="11">
        <f t="shared" si="79"/>
        <v>0</v>
      </c>
      <c r="K312" s="11">
        <f t="shared" si="80"/>
        <v>7.0262786399857396E-5</v>
      </c>
      <c r="L312" s="22">
        <v>1810.4</v>
      </c>
      <c r="M312" s="7" t="s">
        <v>561</v>
      </c>
      <c r="N312" t="s">
        <v>561</v>
      </c>
      <c r="O312" t="s">
        <v>561</v>
      </c>
      <c r="P312" t="s">
        <v>561</v>
      </c>
      <c r="Q312" s="24" t="s">
        <v>561</v>
      </c>
      <c r="R312" s="7">
        <f t="shared" si="87"/>
        <v>0</v>
      </c>
      <c r="S312">
        <v>12537002.957346071</v>
      </c>
      <c r="T312" s="11">
        <f t="shared" si="88"/>
        <v>7.9135797460097058E-3</v>
      </c>
      <c r="U312" s="11">
        <f t="shared" si="89"/>
        <v>7.9843985625729155E-3</v>
      </c>
      <c r="V312" s="22">
        <v>3727.3740334510799</v>
      </c>
    </row>
    <row r="313" spans="1:22" x14ac:dyDescent="0.35">
      <c r="A313" s="14" t="s">
        <v>299</v>
      </c>
      <c r="B313" s="13" t="s">
        <v>567</v>
      </c>
      <c r="C313" s="13" t="s">
        <v>580</v>
      </c>
      <c r="D313" s="13">
        <v>1000</v>
      </c>
      <c r="E313" s="13">
        <v>1000</v>
      </c>
      <c r="F313">
        <f t="shared" si="77"/>
        <v>12695158.49835404</v>
      </c>
      <c r="G313" s="15">
        <v>12693950.108998381</v>
      </c>
      <c r="H313" s="7">
        <f t="shared" si="78"/>
        <v>1</v>
      </c>
      <c r="I313">
        <v>12695158.49835404</v>
      </c>
      <c r="J313" s="11">
        <f t="shared" si="79"/>
        <v>0</v>
      </c>
      <c r="K313" s="11">
        <f t="shared" si="80"/>
        <v>9.519411572311853E-5</v>
      </c>
      <c r="L313" s="22">
        <v>569.9</v>
      </c>
      <c r="M313" s="7" t="s">
        <v>561</v>
      </c>
      <c r="N313" t="s">
        <v>561</v>
      </c>
      <c r="O313" t="s">
        <v>561</v>
      </c>
      <c r="P313" t="s">
        <v>561</v>
      </c>
      <c r="Q313" s="24" t="s">
        <v>561</v>
      </c>
      <c r="R313" s="7">
        <f t="shared" si="87"/>
        <v>0</v>
      </c>
      <c r="S313">
        <v>12802595.384665079</v>
      </c>
      <c r="T313" s="11">
        <f t="shared" si="88"/>
        <v>8.4628235500146601E-3</v>
      </c>
      <c r="U313" s="11">
        <f t="shared" si="89"/>
        <v>8.5588232767421432E-3</v>
      </c>
      <c r="V313" s="22">
        <v>4091.43992805481</v>
      </c>
    </row>
    <row r="314" spans="1:22" x14ac:dyDescent="0.35">
      <c r="A314" s="14" t="s">
        <v>381</v>
      </c>
      <c r="B314" s="13" t="s">
        <v>567</v>
      </c>
      <c r="C314" s="13" t="s">
        <v>580</v>
      </c>
      <c r="D314" s="13">
        <v>1000</v>
      </c>
      <c r="E314" s="13">
        <v>1000</v>
      </c>
      <c r="F314">
        <f t="shared" si="77"/>
        <v>12789900.055764999</v>
      </c>
      <c r="G314" s="15">
        <v>12788891.16806343</v>
      </c>
      <c r="H314" s="7">
        <f t="shared" si="78"/>
        <v>1</v>
      </c>
      <c r="I314">
        <v>12789900.055764999</v>
      </c>
      <c r="J314" s="11">
        <f t="shared" si="79"/>
        <v>0</v>
      </c>
      <c r="K314" s="11">
        <f t="shared" si="80"/>
        <v>7.8887816645787973E-5</v>
      </c>
      <c r="L314" s="22">
        <v>1945.5</v>
      </c>
      <c r="M314" s="7" t="s">
        <v>561</v>
      </c>
      <c r="N314" t="s">
        <v>561</v>
      </c>
      <c r="O314" t="s">
        <v>561</v>
      </c>
      <c r="P314" t="s">
        <v>561</v>
      </c>
      <c r="Q314" s="24" t="s">
        <v>561</v>
      </c>
      <c r="R314" s="7">
        <f t="shared" si="87"/>
        <v>0</v>
      </c>
      <c r="S314">
        <v>13114730.47696336</v>
      </c>
      <c r="T314" s="11">
        <f t="shared" si="88"/>
        <v>2.5397416694585079E-2</v>
      </c>
      <c r="U314" s="11">
        <f t="shared" si="89"/>
        <v>2.5478308057982346E-2</v>
      </c>
      <c r="V314" s="22">
        <v>4988.1742415428162</v>
      </c>
    </row>
    <row r="315" spans="1:22" x14ac:dyDescent="0.35">
      <c r="A315" s="14" t="s">
        <v>379</v>
      </c>
      <c r="B315" s="13" t="s">
        <v>567</v>
      </c>
      <c r="C315" s="13" t="s">
        <v>580</v>
      </c>
      <c r="D315" s="13">
        <v>1000</v>
      </c>
      <c r="E315" s="13">
        <v>1000</v>
      </c>
      <c r="F315">
        <f t="shared" si="77"/>
        <v>13589769.53269301</v>
      </c>
      <c r="G315" s="15">
        <v>13588678.102636959</v>
      </c>
      <c r="H315" s="7">
        <f t="shared" si="78"/>
        <v>1</v>
      </c>
      <c r="I315">
        <v>13589769.53269301</v>
      </c>
      <c r="J315" s="11">
        <f t="shared" si="79"/>
        <v>0</v>
      </c>
      <c r="K315" s="11">
        <f t="shared" si="80"/>
        <v>8.0319075027512917E-5</v>
      </c>
      <c r="L315" s="22">
        <v>951.4</v>
      </c>
      <c r="M315" s="7">
        <f t="shared" ref="M315:M340" si="90">IF(O315&lt;=0.0001,1,0)</f>
        <v>1</v>
      </c>
      <c r="N315">
        <v>13589769.53269304</v>
      </c>
      <c r="O315" s="11">
        <f t="shared" ref="O315:O340" si="91">(N315-$F315)/$F315</f>
        <v>2.1929968949068372E-15</v>
      </c>
      <c r="P315" s="11">
        <f t="shared" ref="P315:P340" si="92">(N315-$G315)/$G315</f>
        <v>8.0319075029706096E-5</v>
      </c>
      <c r="Q315" s="22">
        <v>879.20734214782715</v>
      </c>
      <c r="R315" s="7">
        <f t="shared" si="87"/>
        <v>0</v>
      </c>
      <c r="S315">
        <v>14028559.47312104</v>
      </c>
      <c r="T315" s="11">
        <f t="shared" si="88"/>
        <v>3.2288254732534612E-2</v>
      </c>
      <c r="U315" s="11">
        <f t="shared" si="89"/>
        <v>3.2371167170316496E-2</v>
      </c>
      <c r="V315" s="22">
        <v>4774.3419449329376</v>
      </c>
    </row>
    <row r="316" spans="1:22" x14ac:dyDescent="0.35">
      <c r="A316" s="14" t="s">
        <v>366</v>
      </c>
      <c r="B316" s="13" t="s">
        <v>567</v>
      </c>
      <c r="C316" s="13" t="s">
        <v>580</v>
      </c>
      <c r="D316" s="13">
        <v>1000</v>
      </c>
      <c r="E316" s="13">
        <v>1000</v>
      </c>
      <c r="F316">
        <f t="shared" si="77"/>
        <v>6497715.8367549991</v>
      </c>
      <c r="G316" s="15">
        <v>6497570.423873744</v>
      </c>
      <c r="H316" s="7">
        <f t="shared" si="78"/>
        <v>1</v>
      </c>
      <c r="I316">
        <v>6498151.5990519989</v>
      </c>
      <c r="J316" s="11">
        <f t="shared" si="79"/>
        <v>6.706392029871025E-5</v>
      </c>
      <c r="K316" s="11">
        <f t="shared" si="80"/>
        <v>8.9444998721301656E-5</v>
      </c>
      <c r="L316" s="22">
        <v>197.7</v>
      </c>
      <c r="M316" s="7">
        <f t="shared" si="90"/>
        <v>1</v>
      </c>
      <c r="N316">
        <v>6497715.8367550001</v>
      </c>
      <c r="O316" s="11">
        <f t="shared" si="91"/>
        <v>1.4333076391973875E-16</v>
      </c>
      <c r="P316" s="11">
        <f t="shared" si="92"/>
        <v>2.237957756052891E-5</v>
      </c>
      <c r="Q316" s="22">
        <v>521.54037570953369</v>
      </c>
      <c r="R316" s="7">
        <f t="shared" si="87"/>
        <v>1</v>
      </c>
      <c r="S316">
        <v>6497715.8367549991</v>
      </c>
      <c r="T316" s="11">
        <f t="shared" si="88"/>
        <v>0</v>
      </c>
      <c r="U316" s="11">
        <f t="shared" si="89"/>
        <v>2.2379577560385575E-5</v>
      </c>
      <c r="V316" s="22">
        <v>716.80736470222473</v>
      </c>
    </row>
    <row r="317" spans="1:22" x14ac:dyDescent="0.35">
      <c r="A317" s="14" t="s">
        <v>386</v>
      </c>
      <c r="B317" s="13" t="s">
        <v>567</v>
      </c>
      <c r="C317" s="13" t="s">
        <v>580</v>
      </c>
      <c r="D317" s="13">
        <v>1000</v>
      </c>
      <c r="E317" s="13">
        <v>1000</v>
      </c>
      <c r="F317">
        <f t="shared" si="77"/>
        <v>6523937.6921309968</v>
      </c>
      <c r="G317" s="15">
        <v>6523501.8738987315</v>
      </c>
      <c r="H317" s="7">
        <f t="shared" si="78"/>
        <v>1</v>
      </c>
      <c r="I317">
        <v>6523968.3715400035</v>
      </c>
      <c r="J317" s="11">
        <f t="shared" si="79"/>
        <v>4.7025907441781996E-6</v>
      </c>
      <c r="K317" s="11">
        <f t="shared" si="80"/>
        <v>7.1510309997521628E-5</v>
      </c>
      <c r="L317" s="22">
        <v>325.7</v>
      </c>
      <c r="M317" s="7">
        <f t="shared" si="90"/>
        <v>1</v>
      </c>
      <c r="N317">
        <v>6523945.4450329989</v>
      </c>
      <c r="O317" s="11">
        <f t="shared" si="91"/>
        <v>1.1883776896620536E-6</v>
      </c>
      <c r="P317" s="11">
        <f t="shared" si="92"/>
        <v>6.7995862167550395E-5</v>
      </c>
      <c r="Q317" s="22">
        <v>2743.5406727790828</v>
      </c>
      <c r="R317" s="7">
        <f t="shared" si="87"/>
        <v>1</v>
      </c>
      <c r="S317">
        <v>6523937.6921309968</v>
      </c>
      <c r="T317" s="11">
        <f t="shared" si="88"/>
        <v>0</v>
      </c>
      <c r="U317" s="11">
        <f t="shared" si="89"/>
        <v>6.6807405085458638E-5</v>
      </c>
      <c r="V317" s="22">
        <v>943.32020497322083</v>
      </c>
    </row>
    <row r="318" spans="1:22" x14ac:dyDescent="0.35">
      <c r="A318" s="14" t="s">
        <v>297</v>
      </c>
      <c r="B318" s="13" t="s">
        <v>567</v>
      </c>
      <c r="C318" s="13" t="s">
        <v>580</v>
      </c>
      <c r="D318" s="13">
        <v>1000</v>
      </c>
      <c r="E318" s="13">
        <v>1000</v>
      </c>
      <c r="F318">
        <f t="shared" si="77"/>
        <v>6331080.5202630013</v>
      </c>
      <c r="G318" s="15">
        <v>6330584.7887850879</v>
      </c>
      <c r="H318" s="7">
        <f t="shared" si="78"/>
        <v>1</v>
      </c>
      <c r="I318">
        <v>6331189.7626299988</v>
      </c>
      <c r="J318" s="11">
        <f t="shared" si="79"/>
        <v>1.725493249499645E-5</v>
      </c>
      <c r="K318" s="11">
        <f t="shared" si="80"/>
        <v>9.5563658823859352E-5</v>
      </c>
      <c r="L318" s="22">
        <v>373</v>
      </c>
      <c r="M318" s="7">
        <f t="shared" si="90"/>
        <v>1</v>
      </c>
      <c r="N318">
        <v>6331080.5202630013</v>
      </c>
      <c r="O318" s="11">
        <f t="shared" si="91"/>
        <v>0</v>
      </c>
      <c r="P318" s="11">
        <f t="shared" si="92"/>
        <v>7.8307375140390995E-5</v>
      </c>
      <c r="Q318" s="22">
        <v>767.23035287857056</v>
      </c>
      <c r="R318" s="7">
        <f t="shared" si="87"/>
        <v>1</v>
      </c>
      <c r="S318">
        <v>6331710.842331009</v>
      </c>
      <c r="T318" s="11">
        <f t="shared" si="88"/>
        <v>9.9559951257969232E-5</v>
      </c>
      <c r="U318" s="11">
        <f t="shared" si="89"/>
        <v>1.7787512267681234E-4</v>
      </c>
      <c r="V318" s="22">
        <v>951.4226770401001</v>
      </c>
    </row>
    <row r="319" spans="1:22" x14ac:dyDescent="0.35">
      <c r="A319" s="14" t="s">
        <v>283</v>
      </c>
      <c r="B319" s="13" t="s">
        <v>567</v>
      </c>
      <c r="C319" s="13" t="s">
        <v>580</v>
      </c>
      <c r="D319" s="13">
        <v>1000</v>
      </c>
      <c r="E319" s="13">
        <v>1000</v>
      </c>
      <c r="F319">
        <f t="shared" si="77"/>
        <v>5927817.0829659998</v>
      </c>
      <c r="G319" s="15">
        <v>5927316.2431038683</v>
      </c>
      <c r="H319" s="7">
        <f t="shared" si="78"/>
        <v>1</v>
      </c>
      <c r="I319">
        <v>5927902.0935590006</v>
      </c>
      <c r="J319" s="11">
        <f t="shared" si="79"/>
        <v>1.4340960898588344E-5</v>
      </c>
      <c r="K319" s="11">
        <f t="shared" si="80"/>
        <v>9.8839075072790385E-5</v>
      </c>
      <c r="L319" s="22">
        <v>262.10000000000002</v>
      </c>
      <c r="M319" s="7">
        <f t="shared" si="90"/>
        <v>1</v>
      </c>
      <c r="N319">
        <v>5927901.9317239961</v>
      </c>
      <c r="O319" s="11">
        <f t="shared" si="91"/>
        <v>1.4313659954191696E-5</v>
      </c>
      <c r="P319" s="11">
        <f t="shared" si="92"/>
        <v>9.88117718215485E-5</v>
      </c>
      <c r="Q319" s="22">
        <v>1409.2606694698329</v>
      </c>
      <c r="R319" s="7">
        <f t="shared" si="87"/>
        <v>1</v>
      </c>
      <c r="S319">
        <v>5927817.0829659998</v>
      </c>
      <c r="T319" s="11">
        <f t="shared" si="88"/>
        <v>0</v>
      </c>
      <c r="U319" s="11">
        <f t="shared" si="89"/>
        <v>8.4496902407428553E-5</v>
      </c>
      <c r="V319" s="22">
        <v>787.39629220962524</v>
      </c>
    </row>
    <row r="320" spans="1:22" x14ac:dyDescent="0.35">
      <c r="A320" s="14" t="s">
        <v>303</v>
      </c>
      <c r="B320" s="13" t="s">
        <v>567</v>
      </c>
      <c r="C320" s="13" t="s">
        <v>580</v>
      </c>
      <c r="D320" s="13">
        <v>1000</v>
      </c>
      <c r="E320" s="13">
        <v>1000</v>
      </c>
      <c r="F320">
        <f t="shared" si="77"/>
        <v>6200942.4109499985</v>
      </c>
      <c r="G320" s="15">
        <v>6200415.5742457714</v>
      </c>
      <c r="H320" s="7">
        <f t="shared" si="78"/>
        <v>1</v>
      </c>
      <c r="I320">
        <v>6200996.2357480004</v>
      </c>
      <c r="J320" s="11">
        <f t="shared" si="79"/>
        <v>8.6800996420899976E-6</v>
      </c>
      <c r="K320" s="11">
        <f t="shared" si="80"/>
        <v>9.3648803902903307E-5</v>
      </c>
      <c r="L320" s="22">
        <v>647.5</v>
      </c>
      <c r="M320" s="7">
        <f t="shared" si="90"/>
        <v>1</v>
      </c>
      <c r="N320">
        <v>6200942.4109499985</v>
      </c>
      <c r="O320" s="11">
        <f t="shared" si="91"/>
        <v>0</v>
      </c>
      <c r="P320" s="11">
        <f t="shared" si="92"/>
        <v>8.4967966730395701E-5</v>
      </c>
      <c r="Q320" s="22">
        <v>588.40304040908813</v>
      </c>
      <c r="R320" s="7">
        <f t="shared" si="87"/>
        <v>1</v>
      </c>
      <c r="S320">
        <v>6200962.8470819993</v>
      </c>
      <c r="T320" s="11">
        <f t="shared" si="88"/>
        <v>3.2956493781770799E-6</v>
      </c>
      <c r="U320" s="11">
        <f t="shared" si="89"/>
        <v>8.8263896133199498E-5</v>
      </c>
      <c r="V320" s="22">
        <v>579.21659064292908</v>
      </c>
    </row>
    <row r="321" spans="1:22" x14ac:dyDescent="0.35">
      <c r="A321" s="14" t="s">
        <v>290</v>
      </c>
      <c r="B321" s="13" t="s">
        <v>567</v>
      </c>
      <c r="C321" s="13" t="s">
        <v>580</v>
      </c>
      <c r="D321" s="13">
        <v>1000</v>
      </c>
      <c r="E321" s="13">
        <v>1000</v>
      </c>
      <c r="F321">
        <f t="shared" si="77"/>
        <v>5253413.0951719955</v>
      </c>
      <c r="G321" s="15">
        <v>5252905.028012855</v>
      </c>
      <c r="H321" s="7">
        <f t="shared" si="78"/>
        <v>1</v>
      </c>
      <c r="I321">
        <v>5253413.0951720178</v>
      </c>
      <c r="J321" s="11">
        <f t="shared" si="79"/>
        <v>4.2547085838943897E-15</v>
      </c>
      <c r="K321" s="11">
        <f t="shared" si="80"/>
        <v>9.6721177415810488E-5</v>
      </c>
      <c r="L321" s="22">
        <v>374</v>
      </c>
      <c r="M321" s="7">
        <f t="shared" si="90"/>
        <v>1</v>
      </c>
      <c r="N321">
        <v>5253413.0951719955</v>
      </c>
      <c r="O321" s="11">
        <f t="shared" si="91"/>
        <v>0</v>
      </c>
      <c r="P321" s="11">
        <f t="shared" si="92"/>
        <v>9.6721177411555361E-5</v>
      </c>
      <c r="Q321" s="22">
        <v>519.72662711143494</v>
      </c>
      <c r="R321" s="7">
        <f t="shared" si="87"/>
        <v>1</v>
      </c>
      <c r="S321">
        <v>5253413.0951719992</v>
      </c>
      <c r="T321" s="11">
        <f t="shared" si="88"/>
        <v>7.0911809731573168E-16</v>
      </c>
      <c r="U321" s="11">
        <f t="shared" si="89"/>
        <v>9.6721177412264551E-5</v>
      </c>
      <c r="V321" s="22">
        <v>1055.182169437408</v>
      </c>
    </row>
    <row r="322" spans="1:22" x14ac:dyDescent="0.35">
      <c r="A322" s="14" t="s">
        <v>465</v>
      </c>
      <c r="B322" s="13" t="s">
        <v>567</v>
      </c>
      <c r="C322" s="13" t="s">
        <v>580</v>
      </c>
      <c r="D322" s="13">
        <v>1000</v>
      </c>
      <c r="E322" s="13">
        <v>1000</v>
      </c>
      <c r="F322">
        <f t="shared" ref="F322:F385" si="93">MIN(I322,N322,S322)</f>
        <v>5034168.9656699961</v>
      </c>
      <c r="G322" s="15">
        <v>5033938.0840226756</v>
      </c>
      <c r="H322" s="7">
        <f t="shared" ref="H322:H385" si="94">IF(J322&lt;=0.0001,1,0)</f>
        <v>1</v>
      </c>
      <c r="I322">
        <v>5034168.9656699989</v>
      </c>
      <c r="J322" s="11">
        <f t="shared" ref="J322:J385" si="95">(I322-$F322)/$F322</f>
        <v>5.5500078422071538E-16</v>
      </c>
      <c r="K322" s="11">
        <f t="shared" ref="K322:K385" si="96">(I322-$G322)/$G322</f>
        <v>4.586501531595282E-5</v>
      </c>
      <c r="L322" s="22">
        <v>279.7</v>
      </c>
      <c r="M322" s="7">
        <f t="shared" si="90"/>
        <v>1</v>
      </c>
      <c r="N322">
        <v>5034391.824674</v>
      </c>
      <c r="O322" s="11">
        <f t="shared" si="91"/>
        <v>4.4269273741841294E-5</v>
      </c>
      <c r="P322" s="11">
        <f t="shared" si="92"/>
        <v>9.0136319468157256E-5</v>
      </c>
      <c r="Q322" s="22">
        <v>565.69520330429077</v>
      </c>
      <c r="R322" s="7">
        <f t="shared" si="87"/>
        <v>1</v>
      </c>
      <c r="S322">
        <v>5034168.9656699961</v>
      </c>
      <c r="T322" s="11">
        <f t="shared" si="88"/>
        <v>0</v>
      </c>
      <c r="U322" s="11">
        <f t="shared" si="89"/>
        <v>4.5865015315397797E-5</v>
      </c>
      <c r="V322" s="22">
        <v>890.18662810325623</v>
      </c>
    </row>
    <row r="323" spans="1:22" x14ac:dyDescent="0.35">
      <c r="A323" s="14" t="s">
        <v>454</v>
      </c>
      <c r="B323" s="13" t="s">
        <v>567</v>
      </c>
      <c r="C323" s="13" t="s">
        <v>580</v>
      </c>
      <c r="D323" s="13">
        <v>1000</v>
      </c>
      <c r="E323" s="13">
        <v>1000</v>
      </c>
      <c r="F323">
        <f t="shared" si="93"/>
        <v>5137640.1751719983</v>
      </c>
      <c r="G323" s="15">
        <v>5137348.1144790454</v>
      </c>
      <c r="H323" s="7">
        <f t="shared" si="94"/>
        <v>1</v>
      </c>
      <c r="I323">
        <v>5137640.1751719983</v>
      </c>
      <c r="J323" s="11">
        <f t="shared" si="95"/>
        <v>0</v>
      </c>
      <c r="K323" s="11">
        <f t="shared" si="96"/>
        <v>5.685047741456437E-5</v>
      </c>
      <c r="L323" s="22">
        <v>439.7</v>
      </c>
      <c r="M323" s="7">
        <f t="shared" si="90"/>
        <v>1</v>
      </c>
      <c r="N323">
        <v>5137640.1751719993</v>
      </c>
      <c r="O323" s="11">
        <f t="shared" si="91"/>
        <v>1.8127438724030525E-16</v>
      </c>
      <c r="P323" s="11">
        <f t="shared" si="92"/>
        <v>5.6850477414745655E-5</v>
      </c>
      <c r="Q323" s="22">
        <v>543.58103322982788</v>
      </c>
      <c r="R323" s="7">
        <f t="shared" si="87"/>
        <v>1</v>
      </c>
      <c r="S323">
        <v>5137640.1751719983</v>
      </c>
      <c r="T323" s="11">
        <f t="shared" si="88"/>
        <v>0</v>
      </c>
      <c r="U323" s="11">
        <f t="shared" si="89"/>
        <v>5.685047741456437E-5</v>
      </c>
      <c r="V323" s="22">
        <v>911.63560509681702</v>
      </c>
    </row>
    <row r="324" spans="1:22" x14ac:dyDescent="0.35">
      <c r="A324" s="14" t="s">
        <v>380</v>
      </c>
      <c r="B324" s="13" t="s">
        <v>567</v>
      </c>
      <c r="C324" s="13" t="s">
        <v>580</v>
      </c>
      <c r="D324" s="13">
        <v>1000</v>
      </c>
      <c r="E324" s="13">
        <v>1000</v>
      </c>
      <c r="F324">
        <f t="shared" si="93"/>
        <v>5151524.7877059998</v>
      </c>
      <c r="G324" s="15">
        <v>5151453.6502889823</v>
      </c>
      <c r="H324" s="7">
        <f t="shared" si="94"/>
        <v>1</v>
      </c>
      <c r="I324">
        <v>5151866.0634109993</v>
      </c>
      <c r="J324" s="11">
        <f t="shared" si="95"/>
        <v>6.6247512933238965E-5</v>
      </c>
      <c r="K324" s="11">
        <f t="shared" si="96"/>
        <v>8.0057620627878756E-5</v>
      </c>
      <c r="L324" s="22">
        <v>238.7</v>
      </c>
      <c r="M324" s="7">
        <f t="shared" si="90"/>
        <v>1</v>
      </c>
      <c r="N324">
        <v>5151524.7877059998</v>
      </c>
      <c r="O324" s="11">
        <f t="shared" si="91"/>
        <v>0</v>
      </c>
      <c r="P324" s="11">
        <f t="shared" si="92"/>
        <v>1.3809192869956543E-5</v>
      </c>
      <c r="Q324" s="22">
        <v>415.93241715431208</v>
      </c>
      <c r="R324" s="7">
        <f t="shared" si="87"/>
        <v>1</v>
      </c>
      <c r="S324">
        <v>5151657.9417000003</v>
      </c>
      <c r="T324" s="11">
        <f t="shared" si="88"/>
        <v>2.5847491662718173E-5</v>
      </c>
      <c r="U324" s="11">
        <f t="shared" si="89"/>
        <v>3.9657041465672289E-5</v>
      </c>
      <c r="V324" s="22">
        <v>586.36849331855774</v>
      </c>
    </row>
    <row r="325" spans="1:22" x14ac:dyDescent="0.35">
      <c r="A325" s="14" t="s">
        <v>545</v>
      </c>
      <c r="B325" s="13" t="s">
        <v>567</v>
      </c>
      <c r="C325" s="13" t="s">
        <v>580</v>
      </c>
      <c r="D325" s="13">
        <v>1000</v>
      </c>
      <c r="E325" s="13">
        <v>1000</v>
      </c>
      <c r="F325">
        <f t="shared" si="93"/>
        <v>4797864.9496689998</v>
      </c>
      <c r="G325" s="15">
        <v>4797864.9496690026</v>
      </c>
      <c r="H325" s="7">
        <f t="shared" si="94"/>
        <v>1</v>
      </c>
      <c r="I325">
        <v>4797864.9496690026</v>
      </c>
      <c r="J325" s="11">
        <f t="shared" si="95"/>
        <v>5.8233563327771214E-16</v>
      </c>
      <c r="K325" s="11">
        <f t="shared" si="96"/>
        <v>0</v>
      </c>
      <c r="L325" s="22">
        <v>440.8</v>
      </c>
      <c r="M325" s="7">
        <f t="shared" si="90"/>
        <v>1</v>
      </c>
      <c r="N325">
        <v>4797864.9496689998</v>
      </c>
      <c r="O325" s="11">
        <f t="shared" si="91"/>
        <v>0</v>
      </c>
      <c r="P325" s="11">
        <f t="shared" si="92"/>
        <v>-5.8233563327771185E-16</v>
      </c>
      <c r="Q325" s="22">
        <v>592.91355538368225</v>
      </c>
      <c r="R325" s="7">
        <f t="shared" si="87"/>
        <v>1</v>
      </c>
      <c r="S325">
        <v>4797933.0658829994</v>
      </c>
      <c r="T325" s="11">
        <f t="shared" si="88"/>
        <v>1.4197192858541777E-5</v>
      </c>
      <c r="U325" s="11">
        <f t="shared" si="89"/>
        <v>1.4197192857959433E-5</v>
      </c>
      <c r="V325" s="22">
        <v>827.21869826316833</v>
      </c>
    </row>
    <row r="326" spans="1:22" x14ac:dyDescent="0.35">
      <c r="A326" s="14" t="s">
        <v>367</v>
      </c>
      <c r="B326" s="13" t="s">
        <v>567</v>
      </c>
      <c r="C326" s="13" t="s">
        <v>580</v>
      </c>
      <c r="D326" s="13">
        <v>1000</v>
      </c>
      <c r="E326" s="13">
        <v>1000</v>
      </c>
      <c r="F326">
        <f t="shared" si="93"/>
        <v>3830600.7028009999</v>
      </c>
      <c r="G326" s="15">
        <v>3830258.763821403</v>
      </c>
      <c r="H326" s="7">
        <f t="shared" si="94"/>
        <v>1</v>
      </c>
      <c r="I326">
        <v>3830600.7028009999</v>
      </c>
      <c r="J326" s="11">
        <f t="shared" si="95"/>
        <v>0</v>
      </c>
      <c r="K326" s="11">
        <f t="shared" si="96"/>
        <v>8.9273075445086251E-5</v>
      </c>
      <c r="L326" s="22">
        <v>1149</v>
      </c>
      <c r="M326" s="7">
        <f t="shared" si="90"/>
        <v>1</v>
      </c>
      <c r="N326">
        <v>3830600.7028009999</v>
      </c>
      <c r="O326" s="11">
        <f t="shared" si="91"/>
        <v>0</v>
      </c>
      <c r="P326" s="11">
        <f t="shared" si="92"/>
        <v>8.9273075445086251E-5</v>
      </c>
      <c r="Q326" s="22">
        <v>1095.756196975708</v>
      </c>
      <c r="R326" s="7">
        <f t="shared" si="87"/>
        <v>1</v>
      </c>
      <c r="S326">
        <v>3830876.8036219999</v>
      </c>
      <c r="T326" s="11">
        <f t="shared" si="88"/>
        <v>7.2077682437161517E-5</v>
      </c>
      <c r="U326" s="11">
        <f t="shared" si="89"/>
        <v>1.613571924786299E-4</v>
      </c>
      <c r="V326" s="22">
        <v>689.25924062728882</v>
      </c>
    </row>
    <row r="327" spans="1:22" x14ac:dyDescent="0.35">
      <c r="A327" s="14" t="s">
        <v>558</v>
      </c>
      <c r="B327" s="13" t="s">
        <v>567</v>
      </c>
      <c r="C327" s="13" t="s">
        <v>580</v>
      </c>
      <c r="D327" s="13">
        <v>1000</v>
      </c>
      <c r="E327" s="13">
        <v>1000</v>
      </c>
      <c r="F327">
        <f t="shared" si="93"/>
        <v>4045014.4243549998</v>
      </c>
      <c r="G327" s="15">
        <v>4045014.4243550012</v>
      </c>
      <c r="H327" s="7">
        <f t="shared" si="94"/>
        <v>1</v>
      </c>
      <c r="I327">
        <v>4045014.4243549998</v>
      </c>
      <c r="J327" s="11">
        <f t="shared" si="95"/>
        <v>0</v>
      </c>
      <c r="K327" s="11">
        <f t="shared" si="96"/>
        <v>-3.4535942653553679E-16</v>
      </c>
      <c r="L327" s="22">
        <v>1038</v>
      </c>
      <c r="M327" s="7">
        <f t="shared" si="90"/>
        <v>1</v>
      </c>
      <c r="N327">
        <v>4045014.4243549998</v>
      </c>
      <c r="O327" s="11">
        <f t="shared" si="91"/>
        <v>0</v>
      </c>
      <c r="P327" s="11">
        <f t="shared" si="92"/>
        <v>-3.4535942653553679E-16</v>
      </c>
      <c r="Q327" s="22">
        <v>288.15316796302801</v>
      </c>
      <c r="R327" s="7">
        <f t="shared" si="87"/>
        <v>1</v>
      </c>
      <c r="S327">
        <v>4045014.4243549998</v>
      </c>
      <c r="T327" s="11">
        <f t="shared" si="88"/>
        <v>0</v>
      </c>
      <c r="U327" s="11">
        <f t="shared" si="89"/>
        <v>-3.4535942653553679E-16</v>
      </c>
      <c r="V327" s="22">
        <v>425.72623538970947</v>
      </c>
    </row>
    <row r="328" spans="1:22" x14ac:dyDescent="0.35">
      <c r="A328" s="14" t="s">
        <v>472</v>
      </c>
      <c r="B328" s="13" t="s">
        <v>567</v>
      </c>
      <c r="C328" s="13" t="s">
        <v>580</v>
      </c>
      <c r="D328" s="13">
        <v>1000</v>
      </c>
      <c r="E328" s="13">
        <v>1000</v>
      </c>
      <c r="F328">
        <f t="shared" si="93"/>
        <v>4146878.0385760008</v>
      </c>
      <c r="G328" s="15">
        <v>4146819.8681932981</v>
      </c>
      <c r="H328" s="7">
        <f t="shared" si="94"/>
        <v>1</v>
      </c>
      <c r="I328">
        <v>4146966.315541001</v>
      </c>
      <c r="J328" s="11">
        <f t="shared" si="95"/>
        <v>2.1287572043115718E-5</v>
      </c>
      <c r="K328" s="11">
        <f t="shared" si="96"/>
        <v>3.5315579735255993E-5</v>
      </c>
      <c r="L328" s="22">
        <v>190.1</v>
      </c>
      <c r="M328" s="7">
        <f t="shared" si="90"/>
        <v>1</v>
      </c>
      <c r="N328">
        <v>4146878.0385760008</v>
      </c>
      <c r="O328" s="11">
        <f t="shared" si="91"/>
        <v>0</v>
      </c>
      <c r="P328" s="11">
        <f t="shared" si="92"/>
        <v>1.4027709076272714E-5</v>
      </c>
      <c r="Q328" s="22">
        <v>319.45052194595343</v>
      </c>
      <c r="R328" s="7">
        <f t="shared" si="87"/>
        <v>1</v>
      </c>
      <c r="S328">
        <v>4146885.231354001</v>
      </c>
      <c r="T328" s="11">
        <f t="shared" si="88"/>
        <v>1.7345043507988863E-6</v>
      </c>
      <c r="U328" s="11">
        <f t="shared" si="89"/>
        <v>1.5762237758194025E-5</v>
      </c>
      <c r="V328" s="22">
        <v>482.20325708389282</v>
      </c>
    </row>
    <row r="329" spans="1:22" x14ac:dyDescent="0.35">
      <c r="A329" s="14" t="s">
        <v>547</v>
      </c>
      <c r="B329" s="13" t="s">
        <v>567</v>
      </c>
      <c r="C329" s="13" t="s">
        <v>580</v>
      </c>
      <c r="D329" s="13">
        <v>1000</v>
      </c>
      <c r="E329" s="13">
        <v>1000</v>
      </c>
      <c r="F329">
        <f t="shared" si="93"/>
        <v>3919776.0729780002</v>
      </c>
      <c r="G329" s="15">
        <v>3919776.0729780002</v>
      </c>
      <c r="H329" s="7">
        <f t="shared" si="94"/>
        <v>1</v>
      </c>
      <c r="I329">
        <v>3919776.0729780002</v>
      </c>
      <c r="J329" s="11">
        <f t="shared" si="95"/>
        <v>0</v>
      </c>
      <c r="K329" s="11">
        <f t="shared" si="96"/>
        <v>0</v>
      </c>
      <c r="L329" s="22">
        <v>235.1</v>
      </c>
      <c r="M329" s="7">
        <f t="shared" si="90"/>
        <v>1</v>
      </c>
      <c r="N329">
        <v>3919776.0729780002</v>
      </c>
      <c r="O329" s="11">
        <f t="shared" si="91"/>
        <v>0</v>
      </c>
      <c r="P329" s="11">
        <f t="shared" si="92"/>
        <v>0</v>
      </c>
      <c r="Q329" s="22">
        <v>410.45251250267029</v>
      </c>
      <c r="R329" s="7">
        <f t="shared" si="87"/>
        <v>0</v>
      </c>
      <c r="S329">
        <v>3920556.477285</v>
      </c>
      <c r="T329" s="11">
        <f t="shared" si="88"/>
        <v>1.9909410447698639E-4</v>
      </c>
      <c r="U329" s="11">
        <f t="shared" si="89"/>
        <v>1.9909410447698639E-4</v>
      </c>
      <c r="V329" s="22">
        <v>674.56770205497742</v>
      </c>
    </row>
    <row r="330" spans="1:22" x14ac:dyDescent="0.35">
      <c r="A330" s="14" t="s">
        <v>546</v>
      </c>
      <c r="B330" s="13" t="s">
        <v>567</v>
      </c>
      <c r="C330" s="13" t="s">
        <v>580</v>
      </c>
      <c r="D330" s="13">
        <v>1000</v>
      </c>
      <c r="E330" s="13">
        <v>1000</v>
      </c>
      <c r="F330">
        <f t="shared" si="93"/>
        <v>4018342.3334030001</v>
      </c>
      <c r="G330" s="15">
        <v>4018342.3334030011</v>
      </c>
      <c r="H330" s="7">
        <f t="shared" si="94"/>
        <v>1</v>
      </c>
      <c r="I330">
        <v>4018342.3334030011</v>
      </c>
      <c r="J330" s="11">
        <f t="shared" si="95"/>
        <v>2.3176785284661711E-16</v>
      </c>
      <c r="K330" s="11">
        <f t="shared" si="96"/>
        <v>0</v>
      </c>
      <c r="L330" s="22">
        <v>239.7</v>
      </c>
      <c r="M330" s="7">
        <f t="shared" si="90"/>
        <v>1</v>
      </c>
      <c r="N330">
        <v>4018342.3334030011</v>
      </c>
      <c r="O330" s="11">
        <f t="shared" si="91"/>
        <v>2.3176785284661711E-16</v>
      </c>
      <c r="P330" s="11">
        <f t="shared" si="92"/>
        <v>0</v>
      </c>
      <c r="Q330" s="22">
        <v>296.40028595924377</v>
      </c>
      <c r="R330" s="7">
        <f t="shared" si="87"/>
        <v>1</v>
      </c>
      <c r="S330">
        <v>4018342.3334030001</v>
      </c>
      <c r="T330" s="11">
        <f t="shared" si="88"/>
        <v>0</v>
      </c>
      <c r="U330" s="11">
        <f t="shared" si="89"/>
        <v>-2.3176785284661706E-16</v>
      </c>
      <c r="V330" s="22">
        <v>530.87256765365601</v>
      </c>
    </row>
    <row r="331" spans="1:22" x14ac:dyDescent="0.35">
      <c r="A331" s="14" t="s">
        <v>468</v>
      </c>
      <c r="B331" s="13" t="s">
        <v>567</v>
      </c>
      <c r="C331" s="13" t="s">
        <v>580</v>
      </c>
      <c r="D331" s="13">
        <v>1000</v>
      </c>
      <c r="E331" s="13">
        <v>1000</v>
      </c>
      <c r="F331">
        <f t="shared" si="93"/>
        <v>3628050.9376419992</v>
      </c>
      <c r="G331" s="15">
        <v>3627903.8900135001</v>
      </c>
      <c r="H331" s="7">
        <f t="shared" si="94"/>
        <v>1</v>
      </c>
      <c r="I331">
        <v>3628050.9376420001</v>
      </c>
      <c r="J331" s="11">
        <f t="shared" si="95"/>
        <v>2.5670052340025262E-16</v>
      </c>
      <c r="K331" s="11">
        <f t="shared" si="96"/>
        <v>4.0532393623990401E-5</v>
      </c>
      <c r="L331" s="22">
        <v>220.6</v>
      </c>
      <c r="M331" s="7">
        <f t="shared" si="90"/>
        <v>1</v>
      </c>
      <c r="N331">
        <v>3628050.9376419992</v>
      </c>
      <c r="O331" s="11">
        <f t="shared" si="91"/>
        <v>0</v>
      </c>
      <c r="P331" s="11">
        <f t="shared" si="92"/>
        <v>4.0532393623733689E-5</v>
      </c>
      <c r="Q331" s="22">
        <v>554.58738207817078</v>
      </c>
      <c r="R331" s="7">
        <f t="shared" si="87"/>
        <v>1</v>
      </c>
      <c r="S331">
        <v>3628142.9592789998</v>
      </c>
      <c r="T331" s="11">
        <f t="shared" si="88"/>
        <v>2.5363931924400531E-5</v>
      </c>
      <c r="U331" s="11">
        <f t="shared" si="89"/>
        <v>6.5897353609006831E-5</v>
      </c>
      <c r="V331" s="22">
        <v>838.95135831832886</v>
      </c>
    </row>
    <row r="332" spans="1:22" x14ac:dyDescent="0.35">
      <c r="A332" s="14" t="s">
        <v>448</v>
      </c>
      <c r="B332" s="13" t="s">
        <v>567</v>
      </c>
      <c r="C332" s="13" t="s">
        <v>580</v>
      </c>
      <c r="D332" s="13">
        <v>1000</v>
      </c>
      <c r="E332" s="13">
        <v>1000</v>
      </c>
      <c r="F332">
        <f t="shared" si="93"/>
        <v>3680446.1000580001</v>
      </c>
      <c r="G332" s="15">
        <v>3680214.7065684502</v>
      </c>
      <c r="H332" s="7">
        <f t="shared" si="94"/>
        <v>1</v>
      </c>
      <c r="I332">
        <v>3680446.1000580001</v>
      </c>
      <c r="J332" s="11">
        <f t="shared" si="95"/>
        <v>0</v>
      </c>
      <c r="K332" s="11">
        <f t="shared" si="96"/>
        <v>6.2874997248632395E-5</v>
      </c>
      <c r="L332" s="22">
        <v>64</v>
      </c>
      <c r="M332" s="7">
        <f t="shared" si="90"/>
        <v>1</v>
      </c>
      <c r="N332">
        <v>3680446.1000580001</v>
      </c>
      <c r="O332" s="11">
        <f t="shared" si="91"/>
        <v>0</v>
      </c>
      <c r="P332" s="11">
        <f t="shared" si="92"/>
        <v>6.2874997248632395E-5</v>
      </c>
      <c r="Q332" s="22">
        <v>249.58766746520999</v>
      </c>
      <c r="R332" s="7">
        <f t="shared" si="87"/>
        <v>1</v>
      </c>
      <c r="S332">
        <v>3680446.1000580001</v>
      </c>
      <c r="T332" s="11">
        <f t="shared" si="88"/>
        <v>0</v>
      </c>
      <c r="U332" s="11">
        <f t="shared" si="89"/>
        <v>6.2874997248632395E-5</v>
      </c>
      <c r="V332" s="22">
        <v>803.24828052520752</v>
      </c>
    </row>
    <row r="333" spans="1:22" x14ac:dyDescent="0.35">
      <c r="A333" s="14" t="s">
        <v>445</v>
      </c>
      <c r="B333" s="13" t="s">
        <v>567</v>
      </c>
      <c r="C333" s="13" t="s">
        <v>580</v>
      </c>
      <c r="D333" s="13">
        <v>1000</v>
      </c>
      <c r="E333" s="13">
        <v>1000</v>
      </c>
      <c r="F333">
        <f t="shared" si="93"/>
        <v>3723893.6369489999</v>
      </c>
      <c r="G333" s="15">
        <v>3723885.4619437782</v>
      </c>
      <c r="H333" s="7">
        <f t="shared" si="94"/>
        <v>1</v>
      </c>
      <c r="I333">
        <v>3724124.096262001</v>
      </c>
      <c r="J333" s="11">
        <f t="shared" si="95"/>
        <v>6.188665291467191E-5</v>
      </c>
      <c r="K333" s="11">
        <f t="shared" si="96"/>
        <v>6.4082077889204486E-5</v>
      </c>
      <c r="L333" s="22">
        <v>198.1</v>
      </c>
      <c r="M333" s="7">
        <f t="shared" si="90"/>
        <v>1</v>
      </c>
      <c r="N333">
        <v>3723893.6369489999</v>
      </c>
      <c r="O333" s="11">
        <f t="shared" si="91"/>
        <v>0</v>
      </c>
      <c r="P333" s="11">
        <f t="shared" si="92"/>
        <v>2.1952891154370402E-6</v>
      </c>
      <c r="Q333" s="22">
        <v>253.4324848651886</v>
      </c>
      <c r="R333" s="7">
        <f t="shared" si="87"/>
        <v>1</v>
      </c>
      <c r="S333">
        <v>3723893.6369489999</v>
      </c>
      <c r="T333" s="11">
        <f t="shared" si="88"/>
        <v>0</v>
      </c>
      <c r="U333" s="11">
        <f t="shared" si="89"/>
        <v>2.1952891154370402E-6</v>
      </c>
      <c r="V333" s="22">
        <v>408.59352135658258</v>
      </c>
    </row>
    <row r="334" spans="1:22" x14ac:dyDescent="0.35">
      <c r="A334" s="14" t="s">
        <v>557</v>
      </c>
      <c r="B334" s="13" t="s">
        <v>567</v>
      </c>
      <c r="C334" s="13" t="s">
        <v>580</v>
      </c>
      <c r="D334" s="13">
        <v>1000</v>
      </c>
      <c r="E334" s="13">
        <v>1000</v>
      </c>
      <c r="F334">
        <f t="shared" si="93"/>
        <v>3496431.3590790001</v>
      </c>
      <c r="G334" s="15">
        <v>3496431.359079001</v>
      </c>
      <c r="H334" s="7">
        <f t="shared" si="94"/>
        <v>1</v>
      </c>
      <c r="I334">
        <v>3496431.3590790001</v>
      </c>
      <c r="J334" s="11">
        <f t="shared" si="95"/>
        <v>0</v>
      </c>
      <c r="K334" s="11">
        <f t="shared" si="96"/>
        <v>-2.6636375177140592E-16</v>
      </c>
      <c r="L334" s="22">
        <v>71.3</v>
      </c>
      <c r="M334" s="7">
        <f t="shared" si="90"/>
        <v>1</v>
      </c>
      <c r="N334">
        <v>3496431.3590790001</v>
      </c>
      <c r="O334" s="11">
        <f t="shared" si="91"/>
        <v>0</v>
      </c>
      <c r="P334" s="11">
        <f t="shared" si="92"/>
        <v>-2.6636375177140592E-16</v>
      </c>
      <c r="Q334" s="22">
        <v>371.37003993988043</v>
      </c>
      <c r="R334" s="7">
        <f t="shared" si="87"/>
        <v>1</v>
      </c>
      <c r="S334">
        <v>3496431.3590790001</v>
      </c>
      <c r="T334" s="11">
        <f t="shared" si="88"/>
        <v>0</v>
      </c>
      <c r="U334" s="11">
        <f t="shared" si="89"/>
        <v>-2.6636375177140592E-16</v>
      </c>
      <c r="V334" s="22">
        <v>450.50160574913019</v>
      </c>
    </row>
    <row r="335" spans="1:22" x14ac:dyDescent="0.35">
      <c r="A335" s="14" t="s">
        <v>549</v>
      </c>
      <c r="B335" s="13" t="s">
        <v>567</v>
      </c>
      <c r="C335" s="13" t="s">
        <v>580</v>
      </c>
      <c r="D335" s="13">
        <v>1000</v>
      </c>
      <c r="E335" s="13">
        <v>1000</v>
      </c>
      <c r="F335">
        <f t="shared" si="93"/>
        <v>3674555.8372970009</v>
      </c>
      <c r="G335" s="15">
        <v>3674555.8372970009</v>
      </c>
      <c r="H335" s="7">
        <f t="shared" si="94"/>
        <v>1</v>
      </c>
      <c r="I335">
        <v>3674555.8372970009</v>
      </c>
      <c r="J335" s="11">
        <f t="shared" si="95"/>
        <v>0</v>
      </c>
      <c r="K335" s="11">
        <f t="shared" si="96"/>
        <v>0</v>
      </c>
      <c r="L335" s="22">
        <v>126</v>
      </c>
      <c r="M335" s="7">
        <f t="shared" si="90"/>
        <v>1</v>
      </c>
      <c r="N335">
        <v>3674657.397477001</v>
      </c>
      <c r="O335" s="11">
        <f t="shared" si="91"/>
        <v>2.7638763566792621E-5</v>
      </c>
      <c r="P335" s="11">
        <f t="shared" si="92"/>
        <v>2.7638763566792621E-5</v>
      </c>
      <c r="Q335" s="22">
        <v>275.79395318031311</v>
      </c>
      <c r="R335" s="7">
        <f t="shared" si="87"/>
        <v>1</v>
      </c>
      <c r="S335">
        <v>3674609.3378980011</v>
      </c>
      <c r="T335" s="11">
        <f t="shared" si="88"/>
        <v>1.4559746366381933E-5</v>
      </c>
      <c r="U335" s="11">
        <f t="shared" si="89"/>
        <v>1.4559746366381933E-5</v>
      </c>
      <c r="V335" s="22">
        <v>471.10421276092529</v>
      </c>
    </row>
    <row r="336" spans="1:22" x14ac:dyDescent="0.35">
      <c r="A336" s="14" t="s">
        <v>550</v>
      </c>
      <c r="B336" s="13" t="s">
        <v>567</v>
      </c>
      <c r="C336" s="13" t="s">
        <v>580</v>
      </c>
      <c r="D336" s="13">
        <v>1000</v>
      </c>
      <c r="E336" s="13">
        <v>1000</v>
      </c>
      <c r="F336">
        <f t="shared" si="93"/>
        <v>3658334.6450419999</v>
      </c>
      <c r="G336" s="15">
        <v>3658334.6450419999</v>
      </c>
      <c r="H336" s="7">
        <f t="shared" si="94"/>
        <v>1</v>
      </c>
      <c r="I336">
        <v>3658334.6450419999</v>
      </c>
      <c r="J336" s="11">
        <f t="shared" si="95"/>
        <v>0</v>
      </c>
      <c r="K336" s="11">
        <f t="shared" si="96"/>
        <v>0</v>
      </c>
      <c r="L336" s="22">
        <v>259.5</v>
      </c>
      <c r="M336" s="7">
        <f t="shared" si="90"/>
        <v>1</v>
      </c>
      <c r="N336">
        <v>3658334.6450419999</v>
      </c>
      <c r="O336" s="11">
        <f t="shared" si="91"/>
        <v>0</v>
      </c>
      <c r="P336" s="11">
        <f t="shared" si="92"/>
        <v>0</v>
      </c>
      <c r="Q336" s="22">
        <v>365.6679093837738</v>
      </c>
      <c r="R336" s="7">
        <f t="shared" si="87"/>
        <v>0</v>
      </c>
      <c r="S336">
        <v>3659093.1389370002</v>
      </c>
      <c r="T336" s="11">
        <f t="shared" si="88"/>
        <v>2.0733310880355631E-4</v>
      </c>
      <c r="U336" s="11">
        <f t="shared" si="89"/>
        <v>2.0733310880355631E-4</v>
      </c>
      <c r="V336" s="22">
        <v>7200.4961144924164</v>
      </c>
    </row>
    <row r="337" spans="1:22" x14ac:dyDescent="0.35">
      <c r="A337" s="14" t="s">
        <v>461</v>
      </c>
      <c r="B337" s="13" t="s">
        <v>567</v>
      </c>
      <c r="C337" s="13" t="s">
        <v>580</v>
      </c>
      <c r="D337" s="13">
        <v>1000</v>
      </c>
      <c r="E337" s="13">
        <v>1000</v>
      </c>
      <c r="F337">
        <f t="shared" si="93"/>
        <v>3527780.134072999</v>
      </c>
      <c r="G337" s="15">
        <v>3527606.7940983661</v>
      </c>
      <c r="H337" s="7">
        <f t="shared" si="94"/>
        <v>1</v>
      </c>
      <c r="I337">
        <v>3527780.134072999</v>
      </c>
      <c r="J337" s="11">
        <f t="shared" si="95"/>
        <v>0</v>
      </c>
      <c r="K337" s="11">
        <f t="shared" si="96"/>
        <v>4.9138122458247775E-5</v>
      </c>
      <c r="L337" s="22">
        <v>94.9</v>
      </c>
      <c r="M337" s="7">
        <f t="shared" si="90"/>
        <v>1</v>
      </c>
      <c r="N337">
        <v>3527899.5239949999</v>
      </c>
      <c r="O337" s="11">
        <f t="shared" si="91"/>
        <v>3.3842789931211438E-5</v>
      </c>
      <c r="P337" s="11">
        <f t="shared" si="92"/>
        <v>8.2982575360615189E-5</v>
      </c>
      <c r="Q337" s="22">
        <v>356.07561874389648</v>
      </c>
      <c r="R337" s="7">
        <f t="shared" si="87"/>
        <v>0</v>
      </c>
      <c r="S337">
        <v>3528511.746352999</v>
      </c>
      <c r="T337" s="11">
        <f t="shared" si="88"/>
        <v>2.0738601959167965E-4</v>
      </c>
      <c r="U337" s="11">
        <f t="shared" si="89"/>
        <v>2.5653433260955426E-4</v>
      </c>
      <c r="V337" s="22">
        <v>7200.3042104244232</v>
      </c>
    </row>
    <row r="338" spans="1:22" x14ac:dyDescent="0.35">
      <c r="A338" s="14" t="s">
        <v>385</v>
      </c>
      <c r="B338" s="13" t="s">
        <v>567</v>
      </c>
      <c r="C338" s="13" t="s">
        <v>580</v>
      </c>
      <c r="D338" s="13">
        <v>1000</v>
      </c>
      <c r="E338" s="13">
        <v>1000</v>
      </c>
      <c r="F338">
        <f t="shared" si="93"/>
        <v>3342881.976396</v>
      </c>
      <c r="G338" s="15">
        <v>3342638.5692178919</v>
      </c>
      <c r="H338" s="7">
        <f t="shared" si="94"/>
        <v>1</v>
      </c>
      <c r="I338">
        <v>3342881.976396</v>
      </c>
      <c r="J338" s="11">
        <f t="shared" si="95"/>
        <v>0</v>
      </c>
      <c r="K338" s="11">
        <f t="shared" si="96"/>
        <v>7.2818874391516095E-5</v>
      </c>
      <c r="L338" s="22">
        <v>267.3</v>
      </c>
      <c r="M338" s="7">
        <f t="shared" si="90"/>
        <v>1</v>
      </c>
      <c r="N338">
        <v>3342881.976396</v>
      </c>
      <c r="O338" s="11">
        <f t="shared" si="91"/>
        <v>0</v>
      </c>
      <c r="P338" s="11">
        <f t="shared" si="92"/>
        <v>7.2818874391516095E-5</v>
      </c>
      <c r="Q338" s="22">
        <v>325.04717493057251</v>
      </c>
      <c r="R338" s="7">
        <f t="shared" si="87"/>
        <v>1</v>
      </c>
      <c r="S338">
        <v>3342881.976396</v>
      </c>
      <c r="T338" s="11">
        <f t="shared" si="88"/>
        <v>0</v>
      </c>
      <c r="U338" s="11">
        <f t="shared" si="89"/>
        <v>7.2818874391516095E-5</v>
      </c>
      <c r="V338" s="22">
        <v>7200.7031850814819</v>
      </c>
    </row>
    <row r="339" spans="1:22" x14ac:dyDescent="0.35">
      <c r="A339" s="14" t="s">
        <v>457</v>
      </c>
      <c r="B339" s="13" t="s">
        <v>567</v>
      </c>
      <c r="C339" s="13" t="s">
        <v>580</v>
      </c>
      <c r="D339" s="13">
        <v>1000</v>
      </c>
      <c r="E339" s="13">
        <v>1000</v>
      </c>
      <c r="F339">
        <f t="shared" si="93"/>
        <v>3469961.6391520002</v>
      </c>
      <c r="G339" s="15">
        <v>3469820.728194017</v>
      </c>
      <c r="H339" s="7">
        <f t="shared" si="94"/>
        <v>1</v>
      </c>
      <c r="I339">
        <v>3469999.989029</v>
      </c>
      <c r="J339" s="11">
        <f t="shared" si="95"/>
        <v>1.1051959931530281E-5</v>
      </c>
      <c r="K339" s="11">
        <f t="shared" si="96"/>
        <v>5.1662852067976025E-5</v>
      </c>
      <c r="L339" s="22">
        <v>102.4</v>
      </c>
      <c r="M339" s="7">
        <f t="shared" si="90"/>
        <v>1</v>
      </c>
      <c r="N339">
        <v>3469961.6391520002</v>
      </c>
      <c r="O339" s="11">
        <f t="shared" si="91"/>
        <v>0</v>
      </c>
      <c r="P339" s="11">
        <f t="shared" si="92"/>
        <v>4.0610443311453463E-5</v>
      </c>
      <c r="Q339" s="22">
        <v>927.68569135665894</v>
      </c>
      <c r="R339" s="7">
        <f t="shared" si="87"/>
        <v>1</v>
      </c>
      <c r="S339">
        <v>3469961.6391520002</v>
      </c>
      <c r="T339" s="11">
        <f t="shared" si="88"/>
        <v>0</v>
      </c>
      <c r="U339" s="11">
        <f t="shared" si="89"/>
        <v>4.0610443311453463E-5</v>
      </c>
      <c r="V339" s="22">
        <v>7201.5906281471252</v>
      </c>
    </row>
    <row r="340" spans="1:22" x14ac:dyDescent="0.35">
      <c r="A340" s="14" t="s">
        <v>551</v>
      </c>
      <c r="B340" s="13" t="s">
        <v>567</v>
      </c>
      <c r="C340" s="13" t="s">
        <v>580</v>
      </c>
      <c r="D340" s="13">
        <v>1000</v>
      </c>
      <c r="E340" s="13">
        <v>1000</v>
      </c>
      <c r="F340">
        <f t="shared" si="93"/>
        <v>3426766.394266</v>
      </c>
      <c r="G340" s="15">
        <v>3426766.394266</v>
      </c>
      <c r="H340" s="7">
        <f t="shared" si="94"/>
        <v>1</v>
      </c>
      <c r="I340">
        <v>3426766.394266</v>
      </c>
      <c r="J340" s="11">
        <f t="shared" si="95"/>
        <v>0</v>
      </c>
      <c r="K340" s="11">
        <f t="shared" si="96"/>
        <v>0</v>
      </c>
      <c r="L340" s="22">
        <v>220.3</v>
      </c>
      <c r="M340" s="7">
        <f t="shared" si="90"/>
        <v>1</v>
      </c>
      <c r="N340">
        <v>3426766.394266</v>
      </c>
      <c r="O340" s="11">
        <f t="shared" si="91"/>
        <v>0</v>
      </c>
      <c r="P340" s="11">
        <f t="shared" si="92"/>
        <v>0</v>
      </c>
      <c r="Q340" s="22">
        <v>325.56113529205322</v>
      </c>
      <c r="R340" s="7">
        <f t="shared" si="87"/>
        <v>1</v>
      </c>
      <c r="S340">
        <v>3426766.394266</v>
      </c>
      <c r="T340" s="11">
        <f t="shared" si="88"/>
        <v>0</v>
      </c>
      <c r="U340" s="11">
        <f t="shared" si="89"/>
        <v>0</v>
      </c>
      <c r="V340" s="22">
        <v>7090.6226251125336</v>
      </c>
    </row>
    <row r="341" spans="1:22" x14ac:dyDescent="0.35">
      <c r="A341" s="14" t="s">
        <v>190</v>
      </c>
      <c r="B341" s="13" t="s">
        <v>572</v>
      </c>
      <c r="C341" s="13" t="s">
        <v>580</v>
      </c>
      <c r="D341" s="13">
        <v>1000</v>
      </c>
      <c r="E341" s="13">
        <v>4000</v>
      </c>
      <c r="F341">
        <f t="shared" si="93"/>
        <v>21708404.256289009</v>
      </c>
      <c r="G341" s="15">
        <v>19728747.564679019</v>
      </c>
      <c r="H341" s="7">
        <f t="shared" si="94"/>
        <v>0</v>
      </c>
      <c r="I341">
        <v>21908092.27155</v>
      </c>
      <c r="J341" s="11">
        <f t="shared" si="95"/>
        <v>9.198650112807823E-3</v>
      </c>
      <c r="K341" s="11">
        <f t="shared" si="96"/>
        <v>0.11046543627395426</v>
      </c>
      <c r="L341" s="22">
        <v>3899.9033939838409</v>
      </c>
      <c r="M341" s="7" t="s">
        <v>561</v>
      </c>
      <c r="N341" t="s">
        <v>561</v>
      </c>
      <c r="O341" t="s">
        <v>561</v>
      </c>
      <c r="P341" t="s">
        <v>561</v>
      </c>
      <c r="Q341" s="24" t="s">
        <v>561</v>
      </c>
      <c r="R341" s="7">
        <f t="shared" si="87"/>
        <v>1</v>
      </c>
      <c r="S341">
        <v>21708404.256289009</v>
      </c>
      <c r="T341" s="11">
        <f t="shared" si="88"/>
        <v>0</v>
      </c>
      <c r="U341" s="11">
        <f t="shared" si="89"/>
        <v>0.10034375903081805</v>
      </c>
      <c r="V341" s="22">
        <v>7212.2446548938751</v>
      </c>
    </row>
    <row r="342" spans="1:22" x14ac:dyDescent="0.35">
      <c r="A342" s="14" t="s">
        <v>196</v>
      </c>
      <c r="B342" s="13" t="s">
        <v>572</v>
      </c>
      <c r="C342" s="13" t="s">
        <v>580</v>
      </c>
      <c r="D342" s="13">
        <v>1000</v>
      </c>
      <c r="E342" s="13">
        <v>4000</v>
      </c>
      <c r="F342">
        <f t="shared" si="93"/>
        <v>24686575.180171009</v>
      </c>
      <c r="G342" s="15">
        <v>23231278.932558279</v>
      </c>
      <c r="H342" s="7">
        <f t="shared" si="94"/>
        <v>0</v>
      </c>
      <c r="I342">
        <v>25482953.39629801</v>
      </c>
      <c r="J342" s="11">
        <f t="shared" si="95"/>
        <v>3.225956659904268E-2</v>
      </c>
      <c r="K342" s="11">
        <f t="shared" si="96"/>
        <v>9.6924257604433628E-2</v>
      </c>
      <c r="L342" s="22">
        <v>4590.2752130031586</v>
      </c>
      <c r="M342" s="7">
        <f>IF(O342&lt;=0.0001,1,0)</f>
        <v>1</v>
      </c>
      <c r="N342">
        <v>24686575.180171009</v>
      </c>
      <c r="O342" s="11">
        <f>(N342-$F342)/$F342</f>
        <v>0</v>
      </c>
      <c r="P342" s="11">
        <f>(N342-$G342)/$G342</f>
        <v>6.2643828255755402E-2</v>
      </c>
      <c r="Q342" s="22">
        <v>7208.6940739154816</v>
      </c>
      <c r="R342" s="7">
        <f t="shared" si="87"/>
        <v>0</v>
      </c>
      <c r="S342">
        <v>24999879.353422008</v>
      </c>
      <c r="T342" s="11">
        <f t="shared" si="88"/>
        <v>1.269127738312824E-2</v>
      </c>
      <c r="U342" s="11">
        <f t="shared" si="89"/>
        <v>7.6130135839618487E-2</v>
      </c>
      <c r="V342" s="22">
        <v>7210.6270904541016</v>
      </c>
    </row>
    <row r="343" spans="1:22" x14ac:dyDescent="0.35">
      <c r="A343" s="14" t="s">
        <v>198</v>
      </c>
      <c r="B343" s="13" t="s">
        <v>572</v>
      </c>
      <c r="C343" s="13" t="s">
        <v>580</v>
      </c>
      <c r="D343" s="13">
        <v>1000</v>
      </c>
      <c r="E343" s="13">
        <v>4000</v>
      </c>
      <c r="F343">
        <f t="shared" si="93"/>
        <v>21755405.897837002</v>
      </c>
      <c r="G343" s="15">
        <v>20183118.437423632</v>
      </c>
      <c r="H343" s="7">
        <f t="shared" si="94"/>
        <v>1</v>
      </c>
      <c r="I343">
        <v>21755405.897837002</v>
      </c>
      <c r="J343" s="11">
        <f t="shared" si="95"/>
        <v>0</v>
      </c>
      <c r="K343" s="11">
        <f t="shared" si="96"/>
        <v>7.7901116484458993E-2</v>
      </c>
      <c r="L343" s="22">
        <v>5162.1594388484946</v>
      </c>
      <c r="M343" s="7" t="s">
        <v>561</v>
      </c>
      <c r="N343" t="s">
        <v>561</v>
      </c>
      <c r="O343" t="s">
        <v>561</v>
      </c>
      <c r="P343" t="s">
        <v>561</v>
      </c>
      <c r="Q343" s="24" t="s">
        <v>561</v>
      </c>
      <c r="R343" s="7">
        <f t="shared" si="87"/>
        <v>0</v>
      </c>
      <c r="S343">
        <v>21762729.570331998</v>
      </c>
      <c r="T343" s="11">
        <f t="shared" si="88"/>
        <v>3.366369043808318E-4</v>
      </c>
      <c r="U343" s="11">
        <f t="shared" si="89"/>
        <v>7.8263977779540958E-2</v>
      </c>
      <c r="V343" s="22">
        <v>7210.9184408187866</v>
      </c>
    </row>
    <row r="344" spans="1:22" x14ac:dyDescent="0.35">
      <c r="A344" s="14" t="s">
        <v>189</v>
      </c>
      <c r="B344" s="13" t="s">
        <v>572</v>
      </c>
      <c r="C344" s="13" t="s">
        <v>580</v>
      </c>
      <c r="D344" s="13">
        <v>1000</v>
      </c>
      <c r="E344" s="13">
        <v>4000</v>
      </c>
      <c r="F344">
        <f t="shared" si="93"/>
        <v>22502786.074023999</v>
      </c>
      <c r="G344" s="15">
        <v>21041660.95622642</v>
      </c>
      <c r="H344" s="7">
        <f t="shared" si="94"/>
        <v>0</v>
      </c>
      <c r="I344">
        <v>23378832.401958991</v>
      </c>
      <c r="J344" s="11">
        <f t="shared" si="95"/>
        <v>3.8930571754679399E-2</v>
      </c>
      <c r="K344" s="11">
        <f t="shared" si="96"/>
        <v>0.11107352459459627</v>
      </c>
      <c r="L344" s="22">
        <v>5337.2916028499603</v>
      </c>
      <c r="M344" s="7">
        <f>IF(O344&lt;=0.0001,1,0)</f>
        <v>1</v>
      </c>
      <c r="N344">
        <v>22502786.074023999</v>
      </c>
      <c r="O344" s="11">
        <f>(N344-$F344)/$F344</f>
        <v>0</v>
      </c>
      <c r="P344" s="11">
        <f>(N344-$G344)/$G344</f>
        <v>6.9439628403727291E-2</v>
      </c>
      <c r="Q344" s="22">
        <v>7208.6563191413879</v>
      </c>
      <c r="R344" s="7">
        <f t="shared" si="87"/>
        <v>0</v>
      </c>
      <c r="S344">
        <v>23078558.43946299</v>
      </c>
      <c r="T344" s="11">
        <f t="shared" si="88"/>
        <v>2.5586714620356756E-2</v>
      </c>
      <c r="U344" s="11">
        <f t="shared" si="89"/>
        <v>9.6803074979393833E-2</v>
      </c>
      <c r="V344" s="22">
        <v>7209.2254321575156</v>
      </c>
    </row>
    <row r="345" spans="1:22" x14ac:dyDescent="0.35">
      <c r="A345" s="14" t="s">
        <v>199</v>
      </c>
      <c r="B345" s="13" t="s">
        <v>572</v>
      </c>
      <c r="C345" s="13" t="s">
        <v>580</v>
      </c>
      <c r="D345" s="13">
        <v>1000</v>
      </c>
      <c r="E345" s="13">
        <v>4000</v>
      </c>
      <c r="F345">
        <f t="shared" si="93"/>
        <v>25052745.666131999</v>
      </c>
      <c r="G345" s="15">
        <v>21930837.31231555</v>
      </c>
      <c r="H345" s="7">
        <f t="shared" si="94"/>
        <v>0</v>
      </c>
      <c r="I345">
        <v>25147725.788049001</v>
      </c>
      <c r="J345" s="11">
        <f t="shared" si="95"/>
        <v>3.7912060890556388E-3</v>
      </c>
      <c r="K345" s="11">
        <f t="shared" si="96"/>
        <v>0.14668334044532652</v>
      </c>
      <c r="L345" s="22">
        <v>7204.3</v>
      </c>
      <c r="M345" s="7">
        <f>IF(O345&lt;=0.0001,1,0)</f>
        <v>1</v>
      </c>
      <c r="N345">
        <v>25052745.666131999</v>
      </c>
      <c r="O345" s="11">
        <f>(N345-$F345)/$F345</f>
        <v>0</v>
      </c>
      <c r="P345" s="11">
        <f>(N345-$G345)/$G345</f>
        <v>0.14235244689281887</v>
      </c>
      <c r="Q345" s="22">
        <v>7209.7544996738434</v>
      </c>
      <c r="R345" s="7">
        <f t="shared" si="87"/>
        <v>0</v>
      </c>
      <c r="S345">
        <v>26560141.763367999</v>
      </c>
      <c r="T345" s="11">
        <f t="shared" si="88"/>
        <v>6.0168897945337793E-2</v>
      </c>
      <c r="U345" s="11">
        <f t="shared" si="89"/>
        <v>0.21108653468751978</v>
      </c>
      <c r="V345" s="22">
        <v>7210.4622986316681</v>
      </c>
    </row>
    <row r="346" spans="1:22" x14ac:dyDescent="0.35">
      <c r="A346" s="14" t="s">
        <v>210</v>
      </c>
      <c r="B346" s="13" t="s">
        <v>572</v>
      </c>
      <c r="C346" s="13" t="s">
        <v>580</v>
      </c>
      <c r="D346" s="13">
        <v>1000</v>
      </c>
      <c r="E346" s="13">
        <v>4000</v>
      </c>
      <c r="F346">
        <f t="shared" si="93"/>
        <v>15904316.3291799</v>
      </c>
      <c r="G346" s="15">
        <v>15884908.8748067</v>
      </c>
      <c r="H346" s="7">
        <f t="shared" si="94"/>
        <v>1</v>
      </c>
      <c r="I346">
        <v>15904879.201249</v>
      </c>
      <c r="J346" s="11">
        <f t="shared" si="95"/>
        <v>3.5391151524520911E-5</v>
      </c>
      <c r="K346" s="11">
        <f t="shared" si="96"/>
        <v>1.2571886058453971E-3</v>
      </c>
      <c r="L346" s="22">
        <v>1402.484399080276</v>
      </c>
      <c r="M346" s="7" t="s">
        <v>561</v>
      </c>
      <c r="N346" t="s">
        <v>561</v>
      </c>
      <c r="O346" t="s">
        <v>561</v>
      </c>
      <c r="P346" t="s">
        <v>561</v>
      </c>
      <c r="Q346" s="24" t="s">
        <v>561</v>
      </c>
      <c r="R346" s="7">
        <f t="shared" si="87"/>
        <v>1</v>
      </c>
      <c r="S346">
        <v>15904316.3291799</v>
      </c>
      <c r="T346" s="11">
        <f t="shared" si="88"/>
        <v>0</v>
      </c>
      <c r="U346" s="11">
        <f t="shared" si="89"/>
        <v>1.2217542150323262E-3</v>
      </c>
      <c r="V346" s="22">
        <v>3478.6669185161591</v>
      </c>
    </row>
    <row r="347" spans="1:22" x14ac:dyDescent="0.35">
      <c r="A347" s="14" t="s">
        <v>205</v>
      </c>
      <c r="B347" s="13" t="s">
        <v>572</v>
      </c>
      <c r="C347" s="13" t="s">
        <v>580</v>
      </c>
      <c r="D347" s="13">
        <v>1000</v>
      </c>
      <c r="E347" s="13">
        <v>4000</v>
      </c>
      <c r="F347">
        <f t="shared" si="93"/>
        <v>16303945.32643399</v>
      </c>
      <c r="G347" s="15">
        <v>16255150.9500193</v>
      </c>
      <c r="H347" s="7">
        <f t="shared" si="94"/>
        <v>1</v>
      </c>
      <c r="I347">
        <v>16303945.32643399</v>
      </c>
      <c r="J347" s="11">
        <f t="shared" si="95"/>
        <v>0</v>
      </c>
      <c r="K347" s="11">
        <f t="shared" si="96"/>
        <v>3.0017793476493203E-3</v>
      </c>
      <c r="L347" s="22">
        <v>1577.177968025208</v>
      </c>
      <c r="M347" s="7" t="s">
        <v>561</v>
      </c>
      <c r="N347" t="s">
        <v>561</v>
      </c>
      <c r="O347" t="s">
        <v>561</v>
      </c>
      <c r="P347" t="s">
        <v>561</v>
      </c>
      <c r="Q347" s="24" t="s">
        <v>561</v>
      </c>
      <c r="R347" s="7">
        <f t="shared" si="87"/>
        <v>0</v>
      </c>
      <c r="S347">
        <v>16404267.018740989</v>
      </c>
      <c r="T347" s="11">
        <f t="shared" si="88"/>
        <v>6.1532156970831517E-3</v>
      </c>
      <c r="U347" s="11">
        <f t="shared" si="89"/>
        <v>9.1734656405336075E-3</v>
      </c>
      <c r="V347" s="22">
        <v>1580.9871490001681</v>
      </c>
    </row>
    <row r="348" spans="1:22" x14ac:dyDescent="0.35">
      <c r="A348" s="14" t="s">
        <v>284</v>
      </c>
      <c r="B348" s="13" t="s">
        <v>572</v>
      </c>
      <c r="C348" s="13" t="s">
        <v>580</v>
      </c>
      <c r="D348" s="13">
        <v>1000</v>
      </c>
      <c r="E348" s="13">
        <v>4000</v>
      </c>
      <c r="F348">
        <f t="shared" si="93"/>
        <v>15368793.76866699</v>
      </c>
      <c r="G348" s="15">
        <v>15367395.15249536</v>
      </c>
      <c r="H348" s="7">
        <f t="shared" si="94"/>
        <v>1</v>
      </c>
      <c r="I348">
        <v>15368911.823311061</v>
      </c>
      <c r="J348" s="11">
        <f t="shared" si="95"/>
        <v>7.6814515080063535E-6</v>
      </c>
      <c r="K348" s="11">
        <f t="shared" si="96"/>
        <v>9.869407278528839E-5</v>
      </c>
      <c r="L348" s="22">
        <v>2063.9</v>
      </c>
      <c r="M348" s="7">
        <f>IF(O348&lt;=0.0001,1,0)</f>
        <v>1</v>
      </c>
      <c r="N348">
        <v>15368793.768667011</v>
      </c>
      <c r="O348" s="11">
        <f>(N348-$F348)/$F348</f>
        <v>1.3331623125370135E-15</v>
      </c>
      <c r="P348" s="11">
        <f>(N348-$G348)/$G348</f>
        <v>9.1011922174948504E-5</v>
      </c>
      <c r="Q348" s="22">
        <v>3576.8230359554291</v>
      </c>
      <c r="R348" s="7">
        <f t="shared" si="87"/>
        <v>1</v>
      </c>
      <c r="S348">
        <v>15368793.76866699</v>
      </c>
      <c r="T348" s="11">
        <f t="shared" si="88"/>
        <v>0</v>
      </c>
      <c r="U348" s="11">
        <f t="shared" si="89"/>
        <v>9.101192217361522E-5</v>
      </c>
      <c r="V348" s="22">
        <v>4965.494530916214</v>
      </c>
    </row>
    <row r="349" spans="1:22" x14ac:dyDescent="0.35">
      <c r="A349" s="14" t="s">
        <v>213</v>
      </c>
      <c r="B349" s="13" t="s">
        <v>572</v>
      </c>
      <c r="C349" s="13" t="s">
        <v>580</v>
      </c>
      <c r="D349" s="13">
        <v>1000</v>
      </c>
      <c r="E349" s="13">
        <v>4000</v>
      </c>
      <c r="F349">
        <f t="shared" si="93"/>
        <v>15587292.85636195</v>
      </c>
      <c r="G349" s="15">
        <v>15585898.08166717</v>
      </c>
      <c r="H349" s="7">
        <f t="shared" si="94"/>
        <v>1</v>
      </c>
      <c r="I349">
        <v>15587456.442739081</v>
      </c>
      <c r="J349" s="11">
        <f t="shared" si="95"/>
        <v>1.0494854920497219E-5</v>
      </c>
      <c r="K349" s="11">
        <f t="shared" si="96"/>
        <v>9.9985324152974101E-5</v>
      </c>
      <c r="L349" s="22">
        <v>4342.1000000000004</v>
      </c>
      <c r="M349" s="7">
        <f>IF(O349&lt;=0.0001,1,0)</f>
        <v>1</v>
      </c>
      <c r="N349">
        <v>15587292.85636195</v>
      </c>
      <c r="O349" s="11">
        <f>(N349-$F349)/$F349</f>
        <v>0</v>
      </c>
      <c r="P349" s="11">
        <f>(N349-$G349)/$G349</f>
        <v>8.9489530052842069E-5</v>
      </c>
      <c r="Q349" s="22">
        <v>5139.5120935440063</v>
      </c>
      <c r="R349" s="7">
        <f t="shared" si="87"/>
        <v>1</v>
      </c>
      <c r="S349">
        <v>15587292.856361991</v>
      </c>
      <c r="T349" s="11">
        <f t="shared" si="88"/>
        <v>2.6289486994757922E-15</v>
      </c>
      <c r="U349" s="11">
        <f t="shared" si="89"/>
        <v>8.9489530055471259E-5</v>
      </c>
      <c r="V349" s="22">
        <v>5185.8542478084564</v>
      </c>
    </row>
    <row r="350" spans="1:22" x14ac:dyDescent="0.35">
      <c r="A350" s="14" t="s">
        <v>209</v>
      </c>
      <c r="B350" s="13" t="s">
        <v>572</v>
      </c>
      <c r="C350" s="13" t="s">
        <v>580</v>
      </c>
      <c r="D350" s="13">
        <v>1000</v>
      </c>
      <c r="E350" s="13">
        <v>4000</v>
      </c>
      <c r="F350">
        <f t="shared" si="93"/>
        <v>15859588.595302019</v>
      </c>
      <c r="G350" s="15">
        <v>15847535.10825156</v>
      </c>
      <c r="H350" s="7">
        <f t="shared" si="94"/>
        <v>0</v>
      </c>
      <c r="I350">
        <v>15873931.760354999</v>
      </c>
      <c r="J350" s="11">
        <f t="shared" si="95"/>
        <v>9.0438443385782179E-4</v>
      </c>
      <c r="K350" s="11">
        <f t="shared" si="96"/>
        <v>1.6656629515649191E-3</v>
      </c>
      <c r="L350" s="22">
        <v>1945.59415602684</v>
      </c>
      <c r="M350" s="7" t="s">
        <v>561</v>
      </c>
      <c r="N350" t="s">
        <v>561</v>
      </c>
      <c r="O350" t="s">
        <v>561</v>
      </c>
      <c r="P350" t="s">
        <v>561</v>
      </c>
      <c r="Q350" s="24" t="s">
        <v>561</v>
      </c>
      <c r="R350" s="7">
        <f t="shared" si="87"/>
        <v>1</v>
      </c>
      <c r="S350">
        <v>15859588.595302019</v>
      </c>
      <c r="T350" s="11">
        <f t="shared" si="88"/>
        <v>0</v>
      </c>
      <c r="U350" s="11">
        <f t="shared" si="89"/>
        <v>7.6059065136146813E-4</v>
      </c>
      <c r="V350" s="22">
        <v>7136.7440121173859</v>
      </c>
    </row>
    <row r="351" spans="1:22" x14ac:dyDescent="0.35">
      <c r="A351" s="14" t="s">
        <v>273</v>
      </c>
      <c r="B351" s="13" t="s">
        <v>572</v>
      </c>
      <c r="C351" s="13" t="s">
        <v>580</v>
      </c>
      <c r="D351" s="13">
        <v>1000</v>
      </c>
      <c r="E351" s="13">
        <v>4000</v>
      </c>
      <c r="F351">
        <f t="shared" si="93"/>
        <v>15151517.984261811</v>
      </c>
      <c r="G351" s="15">
        <v>15150003.52456335</v>
      </c>
      <c r="H351" s="7">
        <f t="shared" si="94"/>
        <v>1</v>
      </c>
      <c r="I351">
        <v>15151517.984261811</v>
      </c>
      <c r="J351" s="11">
        <f t="shared" si="95"/>
        <v>0</v>
      </c>
      <c r="K351" s="11">
        <f t="shared" si="96"/>
        <v>9.996431327593672E-5</v>
      </c>
      <c r="L351" s="22">
        <v>1681.8</v>
      </c>
      <c r="M351" s="7">
        <f t="shared" ref="M351:M376" si="97">IF(O351&lt;=0.0001,1,0)</f>
        <v>0</v>
      </c>
      <c r="N351">
        <v>15154087.316127989</v>
      </c>
      <c r="O351" s="11">
        <f t="shared" ref="O351:O376" si="98">(N351-$F351)/$F351</f>
        <v>1.6957587146366977E-4</v>
      </c>
      <c r="P351" s="11">
        <f t="shared" ref="P351:P376" si="99">(N351-$G351)/$G351</f>
        <v>2.6955713627514554E-4</v>
      </c>
      <c r="Q351" s="22">
        <v>2200.8866703510189</v>
      </c>
      <c r="R351" s="7">
        <f t="shared" si="87"/>
        <v>1</v>
      </c>
      <c r="S351">
        <v>15151517.98426199</v>
      </c>
      <c r="T351" s="11">
        <f t="shared" si="88"/>
        <v>1.1801717459063146E-14</v>
      </c>
      <c r="U351" s="11">
        <f t="shared" si="89"/>
        <v>9.9964313287739616E-5</v>
      </c>
      <c r="V351" s="22">
        <v>4619.3631896972656</v>
      </c>
    </row>
    <row r="352" spans="1:22" x14ac:dyDescent="0.35">
      <c r="A352" s="14" t="s">
        <v>302</v>
      </c>
      <c r="B352" s="13" t="s">
        <v>572</v>
      </c>
      <c r="C352" s="13" t="s">
        <v>580</v>
      </c>
      <c r="D352" s="13">
        <v>1000</v>
      </c>
      <c r="E352" s="13">
        <v>4000</v>
      </c>
      <c r="F352">
        <f t="shared" si="93"/>
        <v>14785668.981187999</v>
      </c>
      <c r="G352" s="15">
        <v>14784282.55709317</v>
      </c>
      <c r="H352" s="7">
        <f t="shared" si="94"/>
        <v>1</v>
      </c>
      <c r="I352">
        <v>14785668.981187999</v>
      </c>
      <c r="J352" s="11">
        <f t="shared" si="95"/>
        <v>0</v>
      </c>
      <c r="K352" s="11">
        <f t="shared" si="96"/>
        <v>9.3776893770508522E-5</v>
      </c>
      <c r="L352" s="22">
        <v>1644.4</v>
      </c>
      <c r="M352" s="7">
        <f t="shared" si="97"/>
        <v>1</v>
      </c>
      <c r="N352">
        <v>14786033.001941049</v>
      </c>
      <c r="O352" s="11">
        <f t="shared" si="98"/>
        <v>2.4619836512867383E-5</v>
      </c>
      <c r="P352" s="11">
        <f t="shared" si="99"/>
        <v>1.1839903905516923E-4</v>
      </c>
      <c r="Q352" s="22">
        <v>2991.5620627403259</v>
      </c>
      <c r="R352" s="7">
        <f t="shared" si="87"/>
        <v>1</v>
      </c>
      <c r="S352">
        <v>14785799.847299</v>
      </c>
      <c r="T352" s="11">
        <f t="shared" si="88"/>
        <v>8.8508752067628788E-6</v>
      </c>
      <c r="U352" s="11">
        <f t="shared" si="89"/>
        <v>1.0262859898485544E-4</v>
      </c>
      <c r="V352" s="22">
        <v>4181.3344609737396</v>
      </c>
    </row>
    <row r="353" spans="1:22" x14ac:dyDescent="0.35">
      <c r="A353" s="14" t="s">
        <v>274</v>
      </c>
      <c r="B353" s="13" t="s">
        <v>572</v>
      </c>
      <c r="C353" s="13" t="s">
        <v>580</v>
      </c>
      <c r="D353" s="13">
        <v>1000</v>
      </c>
      <c r="E353" s="13">
        <v>4000</v>
      </c>
      <c r="F353">
        <f t="shared" si="93"/>
        <v>14575901.378943991</v>
      </c>
      <c r="G353" s="15">
        <v>14574827.359096071</v>
      </c>
      <c r="H353" s="7">
        <f t="shared" si="94"/>
        <v>1</v>
      </c>
      <c r="I353">
        <v>14576284.26689899</v>
      </c>
      <c r="J353" s="11">
        <f t="shared" si="95"/>
        <v>2.6268561034027883E-5</v>
      </c>
      <c r="K353" s="11">
        <f t="shared" si="96"/>
        <v>9.996055301537946E-5</v>
      </c>
      <c r="L353" s="22">
        <v>2303.5</v>
      </c>
      <c r="M353" s="7">
        <f t="shared" si="97"/>
        <v>1</v>
      </c>
      <c r="N353">
        <v>14576150.96661301</v>
      </c>
      <c r="O353" s="11">
        <f t="shared" si="98"/>
        <v>1.712330939472495E-5</v>
      </c>
      <c r="P353" s="11">
        <f t="shared" si="99"/>
        <v>9.0814627461968818E-5</v>
      </c>
      <c r="Q353" s="22">
        <v>2797.4322915077209</v>
      </c>
      <c r="R353" s="7">
        <f t="shared" si="87"/>
        <v>1</v>
      </c>
      <c r="S353">
        <v>14575901.378943991</v>
      </c>
      <c r="T353" s="11">
        <f t="shared" si="88"/>
        <v>0</v>
      </c>
      <c r="U353" s="11">
        <f t="shared" si="89"/>
        <v>7.3690056249611395E-5</v>
      </c>
      <c r="V353" s="22">
        <v>3287.6705470085139</v>
      </c>
    </row>
    <row r="354" spans="1:22" x14ac:dyDescent="0.35">
      <c r="A354" s="14" t="s">
        <v>278</v>
      </c>
      <c r="B354" s="13" t="s">
        <v>572</v>
      </c>
      <c r="C354" s="13" t="s">
        <v>580</v>
      </c>
      <c r="D354" s="13">
        <v>1000</v>
      </c>
      <c r="E354" s="13">
        <v>4000</v>
      </c>
      <c r="F354">
        <f t="shared" si="93"/>
        <v>14514064.142833989</v>
      </c>
      <c r="G354" s="15">
        <v>14512897.278645121</v>
      </c>
      <c r="H354" s="7">
        <f t="shared" si="94"/>
        <v>1</v>
      </c>
      <c r="I354">
        <v>14514344.833594</v>
      </c>
      <c r="J354" s="11">
        <f t="shared" si="95"/>
        <v>1.9339225543483527E-5</v>
      </c>
      <c r="K354" s="11">
        <f t="shared" si="96"/>
        <v>9.9742657932913115E-5</v>
      </c>
      <c r="L354" s="22">
        <v>1491.8</v>
      </c>
      <c r="M354" s="7">
        <f t="shared" si="97"/>
        <v>1</v>
      </c>
      <c r="N354">
        <v>14514064.142833989</v>
      </c>
      <c r="O354" s="11">
        <f t="shared" si="98"/>
        <v>0</v>
      </c>
      <c r="P354" s="11">
        <f t="shared" si="99"/>
        <v>8.0401877479386899E-5</v>
      </c>
      <c r="Q354" s="22">
        <v>2534.309541702271</v>
      </c>
      <c r="R354" s="7">
        <f t="shared" si="87"/>
        <v>1</v>
      </c>
      <c r="S354">
        <v>14514064.142833989</v>
      </c>
      <c r="T354" s="11">
        <f t="shared" si="88"/>
        <v>0</v>
      </c>
      <c r="U354" s="11">
        <f t="shared" si="89"/>
        <v>8.0401877479386899E-5</v>
      </c>
      <c r="V354" s="22">
        <v>3130.8477580547328</v>
      </c>
    </row>
    <row r="355" spans="1:22" x14ac:dyDescent="0.35">
      <c r="A355" s="14" t="s">
        <v>212</v>
      </c>
      <c r="B355" s="13" t="s">
        <v>572</v>
      </c>
      <c r="C355" s="13" t="s">
        <v>580</v>
      </c>
      <c r="D355" s="13">
        <v>1000</v>
      </c>
      <c r="E355" s="13">
        <v>4000</v>
      </c>
      <c r="F355">
        <f t="shared" si="93"/>
        <v>14094049.60298199</v>
      </c>
      <c r="G355" s="15">
        <v>14093023.675969159</v>
      </c>
      <c r="H355" s="7">
        <f t="shared" si="94"/>
        <v>1</v>
      </c>
      <c r="I355">
        <v>14094432.94403301</v>
      </c>
      <c r="J355" s="11">
        <f t="shared" si="95"/>
        <v>2.7198786851056753E-5</v>
      </c>
      <c r="K355" s="11">
        <f t="shared" si="96"/>
        <v>9.9997565905869188E-5</v>
      </c>
      <c r="L355" s="22">
        <v>1331.5</v>
      </c>
      <c r="M355" s="7">
        <f t="shared" si="97"/>
        <v>1</v>
      </c>
      <c r="N355">
        <v>14094049.602982</v>
      </c>
      <c r="O355" s="11">
        <f t="shared" si="98"/>
        <v>6.6079132743965312E-16</v>
      </c>
      <c r="P355" s="11">
        <f t="shared" si="99"/>
        <v>7.2796799070851925E-5</v>
      </c>
      <c r="Q355" s="22">
        <v>2603.0330603122711</v>
      </c>
      <c r="R355" s="7">
        <f t="shared" si="87"/>
        <v>1</v>
      </c>
      <c r="S355">
        <v>14094049.60298199</v>
      </c>
      <c r="T355" s="11">
        <f t="shared" si="88"/>
        <v>0</v>
      </c>
      <c r="U355" s="11">
        <f t="shared" si="89"/>
        <v>7.2796799070191091E-5</v>
      </c>
      <c r="V355" s="22">
        <v>3268.7689669132228</v>
      </c>
    </row>
    <row r="356" spans="1:22" x14ac:dyDescent="0.35">
      <c r="A356" s="14" t="s">
        <v>450</v>
      </c>
      <c r="B356" s="13" t="s">
        <v>572</v>
      </c>
      <c r="C356" s="13" t="s">
        <v>580</v>
      </c>
      <c r="D356" s="13">
        <v>1000</v>
      </c>
      <c r="E356" s="13">
        <v>4000</v>
      </c>
      <c r="F356">
        <f t="shared" si="93"/>
        <v>13488719.37590299</v>
      </c>
      <c r="G356" s="15">
        <v>13488356.521979211</v>
      </c>
      <c r="H356" s="7">
        <f t="shared" si="94"/>
        <v>1</v>
      </c>
      <c r="I356">
        <v>13489186.94411099</v>
      </c>
      <c r="J356" s="11">
        <f t="shared" si="95"/>
        <v>3.4663647079424131E-5</v>
      </c>
      <c r="K356" s="11">
        <f t="shared" si="96"/>
        <v>6.1565849807239563E-5</v>
      </c>
      <c r="L356" s="22">
        <v>790.5</v>
      </c>
      <c r="M356" s="7">
        <f t="shared" si="97"/>
        <v>1</v>
      </c>
      <c r="N356">
        <v>13488719.37590299</v>
      </c>
      <c r="O356" s="11">
        <f t="shared" si="98"/>
        <v>0</v>
      </c>
      <c r="P356" s="11">
        <f t="shared" si="99"/>
        <v>2.6901270231678135E-5</v>
      </c>
      <c r="Q356" s="22">
        <v>2275.2993998527531</v>
      </c>
      <c r="R356" s="7">
        <f t="shared" si="87"/>
        <v>1</v>
      </c>
      <c r="S356">
        <v>13488719.37590299</v>
      </c>
      <c r="T356" s="11">
        <f t="shared" si="88"/>
        <v>0</v>
      </c>
      <c r="U356" s="11">
        <f t="shared" si="89"/>
        <v>2.6901270231678135E-5</v>
      </c>
      <c r="V356" s="22">
        <v>2481.0288414955139</v>
      </c>
    </row>
    <row r="357" spans="1:22" x14ac:dyDescent="0.35">
      <c r="A357" s="14" t="s">
        <v>382</v>
      </c>
      <c r="B357" s="13" t="s">
        <v>572</v>
      </c>
      <c r="C357" s="13" t="s">
        <v>580</v>
      </c>
      <c r="D357" s="13">
        <v>1000</v>
      </c>
      <c r="E357" s="13">
        <v>4000</v>
      </c>
      <c r="F357">
        <f t="shared" si="93"/>
        <v>13403845.586654991</v>
      </c>
      <c r="G357" s="15">
        <v>13403290.215805611</v>
      </c>
      <c r="H357" s="7">
        <f t="shared" si="94"/>
        <v>1</v>
      </c>
      <c r="I357">
        <v>13404309.98842199</v>
      </c>
      <c r="J357" s="11">
        <f t="shared" si="95"/>
        <v>3.464690517332254E-5</v>
      </c>
      <c r="K357" s="11">
        <f t="shared" si="96"/>
        <v>7.6083752568187533E-5</v>
      </c>
      <c r="L357" s="22">
        <v>740.4</v>
      </c>
      <c r="M357" s="7">
        <f t="shared" si="97"/>
        <v>1</v>
      </c>
      <c r="N357">
        <v>13404268.850302991</v>
      </c>
      <c r="O357" s="11">
        <f t="shared" si="98"/>
        <v>3.1577777083691576E-5</v>
      </c>
      <c r="P357" s="11">
        <f t="shared" si="99"/>
        <v>7.3014497307970347E-5</v>
      </c>
      <c r="Q357" s="22">
        <v>2308.3653209209442</v>
      </c>
      <c r="R357" s="7">
        <f t="shared" si="87"/>
        <v>1</v>
      </c>
      <c r="S357">
        <v>13403845.586654991</v>
      </c>
      <c r="T357" s="11">
        <f t="shared" si="88"/>
        <v>0</v>
      </c>
      <c r="U357" s="11">
        <f t="shared" si="89"/>
        <v>4.1435411786082025E-5</v>
      </c>
      <c r="V357" s="22">
        <v>2683.2001211643219</v>
      </c>
    </row>
    <row r="358" spans="1:22" x14ac:dyDescent="0.35">
      <c r="A358" s="14" t="s">
        <v>473</v>
      </c>
      <c r="B358" s="13" t="s">
        <v>572</v>
      </c>
      <c r="C358" s="13" t="s">
        <v>580</v>
      </c>
      <c r="D358" s="13">
        <v>1000</v>
      </c>
      <c r="E358" s="13">
        <v>4000</v>
      </c>
      <c r="F358">
        <f t="shared" si="93"/>
        <v>13173627.91153999</v>
      </c>
      <c r="G358" s="15">
        <v>13173459.169184159</v>
      </c>
      <c r="H358" s="7">
        <f t="shared" si="94"/>
        <v>1</v>
      </c>
      <c r="I358">
        <v>13173913.127333989</v>
      </c>
      <c r="J358" s="11">
        <f t="shared" si="95"/>
        <v>2.1650512365622932E-5</v>
      </c>
      <c r="K358" s="11">
        <f t="shared" si="96"/>
        <v>3.4460056694280799E-5</v>
      </c>
      <c r="L358" s="22">
        <v>2473.5</v>
      </c>
      <c r="M358" s="7">
        <f t="shared" si="97"/>
        <v>1</v>
      </c>
      <c r="N358">
        <v>13173723.67272399</v>
      </c>
      <c r="O358" s="11">
        <f t="shared" si="98"/>
        <v>7.2691580969576955E-6</v>
      </c>
      <c r="P358" s="11">
        <f t="shared" si="99"/>
        <v>2.0078518211008894E-5</v>
      </c>
      <c r="Q358" s="22">
        <v>2446.677357435226</v>
      </c>
      <c r="R358" s="7">
        <f t="shared" si="87"/>
        <v>1</v>
      </c>
      <c r="S358">
        <v>13173627.91153999</v>
      </c>
      <c r="T358" s="11">
        <f t="shared" si="88"/>
        <v>0</v>
      </c>
      <c r="U358" s="11">
        <f t="shared" si="89"/>
        <v>1.2809267001464258E-5</v>
      </c>
      <c r="V358" s="22">
        <v>3872.6503176689148</v>
      </c>
    </row>
    <row r="359" spans="1:22" x14ac:dyDescent="0.35">
      <c r="A359" s="14" t="s">
        <v>395</v>
      </c>
      <c r="B359" s="13" t="s">
        <v>572</v>
      </c>
      <c r="C359" s="13" t="s">
        <v>580</v>
      </c>
      <c r="D359" s="13">
        <v>1000</v>
      </c>
      <c r="E359" s="13">
        <v>4000</v>
      </c>
      <c r="F359">
        <f t="shared" si="93"/>
        <v>13445819.985096989</v>
      </c>
      <c r="G359" s="15">
        <v>13445122.237457501</v>
      </c>
      <c r="H359" s="7">
        <f t="shared" si="94"/>
        <v>1</v>
      </c>
      <c r="I359">
        <v>13446010.815504991</v>
      </c>
      <c r="J359" s="11">
        <f t="shared" si="95"/>
        <v>1.4192545208312341E-5</v>
      </c>
      <c r="K359" s="11">
        <f t="shared" si="96"/>
        <v>6.6089250197682041E-5</v>
      </c>
      <c r="L359" s="22">
        <v>974.9</v>
      </c>
      <c r="M359" s="7">
        <f t="shared" si="97"/>
        <v>1</v>
      </c>
      <c r="N359">
        <v>13446492.14297599</v>
      </c>
      <c r="O359" s="11">
        <f t="shared" si="98"/>
        <v>4.9990099506428963E-5</v>
      </c>
      <c r="P359" s="11">
        <f t="shared" si="99"/>
        <v>1.0188866224454723E-4</v>
      </c>
      <c r="Q359" s="22">
        <v>2497.716450214386</v>
      </c>
      <c r="R359" s="7">
        <f t="shared" si="87"/>
        <v>1</v>
      </c>
      <c r="S359">
        <v>13445819.985096989</v>
      </c>
      <c r="T359" s="11">
        <f t="shared" si="88"/>
        <v>0</v>
      </c>
      <c r="U359" s="11">
        <f t="shared" si="89"/>
        <v>5.1895968453491301E-5</v>
      </c>
      <c r="V359" s="22">
        <v>2957.8425049781799</v>
      </c>
    </row>
    <row r="360" spans="1:22" x14ac:dyDescent="0.35">
      <c r="A360" s="14" t="s">
        <v>364</v>
      </c>
      <c r="B360" s="13" t="s">
        <v>572</v>
      </c>
      <c r="C360" s="13" t="s">
        <v>580</v>
      </c>
      <c r="D360" s="13">
        <v>1000</v>
      </c>
      <c r="E360" s="13">
        <v>4000</v>
      </c>
      <c r="F360">
        <f t="shared" si="93"/>
        <v>13744032.354952989</v>
      </c>
      <c r="G360" s="15">
        <v>13743543.50359375</v>
      </c>
      <c r="H360" s="7">
        <f t="shared" si="94"/>
        <v>1</v>
      </c>
      <c r="I360">
        <v>13744781.161782989</v>
      </c>
      <c r="J360" s="11">
        <f t="shared" si="95"/>
        <v>5.4482324449002188E-5</v>
      </c>
      <c r="K360" s="11">
        <f t="shared" si="96"/>
        <v>9.0053790633787389E-5</v>
      </c>
      <c r="L360" s="22">
        <v>2749.7</v>
      </c>
      <c r="M360" s="7">
        <f t="shared" si="97"/>
        <v>1</v>
      </c>
      <c r="N360">
        <v>13744262.716355991</v>
      </c>
      <c r="O360" s="11">
        <f t="shared" si="98"/>
        <v>1.6760830959369515E-5</v>
      </c>
      <c r="P360" s="11">
        <f t="shared" si="99"/>
        <v>5.2330955408425492E-5</v>
      </c>
      <c r="Q360" s="22">
        <v>1955.0231184959409</v>
      </c>
      <c r="R360" s="7">
        <f t="shared" si="87"/>
        <v>1</v>
      </c>
      <c r="S360">
        <v>13744032.354952989</v>
      </c>
      <c r="T360" s="11">
        <f t="shared" si="88"/>
        <v>0</v>
      </c>
      <c r="U360" s="11">
        <f t="shared" si="89"/>
        <v>3.5569528274205275E-5</v>
      </c>
      <c r="V360" s="22">
        <v>2482.533402204514</v>
      </c>
    </row>
    <row r="361" spans="1:22" x14ac:dyDescent="0.35">
      <c r="A361" s="14" t="s">
        <v>538</v>
      </c>
      <c r="B361" s="13" t="s">
        <v>572</v>
      </c>
      <c r="C361" s="13" t="s">
        <v>580</v>
      </c>
      <c r="D361" s="13">
        <v>1000</v>
      </c>
      <c r="E361" s="13">
        <v>4000</v>
      </c>
      <c r="F361">
        <f t="shared" si="93"/>
        <v>13223839.949602989</v>
      </c>
      <c r="G361" s="15">
        <v>13223747.327809559</v>
      </c>
      <c r="H361" s="7">
        <f t="shared" si="94"/>
        <v>1</v>
      </c>
      <c r="I361">
        <v>13223839.949778991</v>
      </c>
      <c r="J361" s="11">
        <f t="shared" si="95"/>
        <v>1.3309397332513625E-11</v>
      </c>
      <c r="K361" s="11">
        <f t="shared" si="96"/>
        <v>7.0042150031749768E-6</v>
      </c>
      <c r="L361" s="22">
        <v>1826.9</v>
      </c>
      <c r="M361" s="7">
        <f t="shared" si="97"/>
        <v>1</v>
      </c>
      <c r="N361">
        <v>13223839.949602989</v>
      </c>
      <c r="O361" s="11">
        <f t="shared" si="98"/>
        <v>0</v>
      </c>
      <c r="P361" s="11">
        <f t="shared" si="99"/>
        <v>7.004201693684422E-6</v>
      </c>
      <c r="Q361" s="22">
        <v>1937.3679625988009</v>
      </c>
      <c r="R361" s="7">
        <f t="shared" si="87"/>
        <v>1</v>
      </c>
      <c r="S361">
        <v>13223839.949602989</v>
      </c>
      <c r="T361" s="11">
        <f t="shared" si="88"/>
        <v>0</v>
      </c>
      <c r="U361" s="11">
        <f t="shared" si="89"/>
        <v>7.004201693684422E-6</v>
      </c>
      <c r="V361" s="22">
        <v>2324.9522798061371</v>
      </c>
    </row>
    <row r="362" spans="1:22" x14ac:dyDescent="0.35">
      <c r="A362" s="14" t="s">
        <v>449</v>
      </c>
      <c r="B362" s="13" t="s">
        <v>572</v>
      </c>
      <c r="C362" s="13" t="s">
        <v>580</v>
      </c>
      <c r="D362" s="13">
        <v>1000</v>
      </c>
      <c r="E362" s="13">
        <v>4000</v>
      </c>
      <c r="F362">
        <f t="shared" si="93"/>
        <v>13188448.89558599</v>
      </c>
      <c r="G362" s="15">
        <v>13187993.97483555</v>
      </c>
      <c r="H362" s="7">
        <f t="shared" si="94"/>
        <v>1</v>
      </c>
      <c r="I362">
        <v>13188817.07434799</v>
      </c>
      <c r="J362" s="11">
        <f t="shared" si="95"/>
        <v>2.7916759955242272E-5</v>
      </c>
      <c r="K362" s="11">
        <f t="shared" si="96"/>
        <v>6.2412791059034803E-5</v>
      </c>
      <c r="L362" s="22">
        <v>761.1</v>
      </c>
      <c r="M362" s="7">
        <f t="shared" si="97"/>
        <v>1</v>
      </c>
      <c r="N362">
        <v>13188448.89558599</v>
      </c>
      <c r="O362" s="11">
        <f t="shared" si="98"/>
        <v>0</v>
      </c>
      <c r="P362" s="11">
        <f t="shared" si="99"/>
        <v>3.4495068113256376E-5</v>
      </c>
      <c r="Q362" s="22">
        <v>1725.8024032115941</v>
      </c>
      <c r="R362" s="7">
        <f t="shared" si="87"/>
        <v>1</v>
      </c>
      <c r="S362">
        <v>13188504.796148989</v>
      </c>
      <c r="T362" s="11">
        <f t="shared" si="88"/>
        <v>4.2386002662132069E-6</v>
      </c>
      <c r="U362" s="11">
        <f t="shared" si="89"/>
        <v>3.8733814590274469E-5</v>
      </c>
      <c r="V362" s="22">
        <v>1965.0697705745699</v>
      </c>
    </row>
    <row r="363" spans="1:22" x14ac:dyDescent="0.35">
      <c r="A363" s="14" t="s">
        <v>470</v>
      </c>
      <c r="B363" s="13" t="s">
        <v>572</v>
      </c>
      <c r="C363" s="13" t="s">
        <v>580</v>
      </c>
      <c r="D363" s="13">
        <v>1000</v>
      </c>
      <c r="E363" s="13">
        <v>4000</v>
      </c>
      <c r="F363">
        <f t="shared" si="93"/>
        <v>13212475.169629989</v>
      </c>
      <c r="G363" s="15">
        <v>13211991.700823899</v>
      </c>
      <c r="H363" s="7">
        <f t="shared" si="94"/>
        <v>1</v>
      </c>
      <c r="I363">
        <v>13212475.169629989</v>
      </c>
      <c r="J363" s="11">
        <f t="shared" si="95"/>
        <v>0</v>
      </c>
      <c r="K363" s="11">
        <f t="shared" si="96"/>
        <v>3.6593181182492288E-5</v>
      </c>
      <c r="L363" s="22">
        <v>1102.5999999999999</v>
      </c>
      <c r="M363" s="7">
        <f t="shared" si="97"/>
        <v>1</v>
      </c>
      <c r="N363">
        <v>13212475.169629989</v>
      </c>
      <c r="O363" s="11">
        <f t="shared" si="98"/>
        <v>0</v>
      </c>
      <c r="P363" s="11">
        <f t="shared" si="99"/>
        <v>3.6593181182492288E-5</v>
      </c>
      <c r="Q363" s="22">
        <v>1726.850017786026</v>
      </c>
      <c r="R363" s="7">
        <f t="shared" ref="R363:R400" si="100">IF(T363&lt;=0.0001,1,0)</f>
        <v>1</v>
      </c>
      <c r="S363">
        <v>13212475.169629989</v>
      </c>
      <c r="T363" s="11">
        <f t="shared" ref="T363:T400" si="101">(S363-$F363)/$F363</f>
        <v>0</v>
      </c>
      <c r="U363" s="11">
        <f t="shared" ref="U363:U400" si="102">(S363-$G363)/$G363</f>
        <v>3.6593181182492288E-5</v>
      </c>
      <c r="V363" s="22">
        <v>2300.0697257518768</v>
      </c>
    </row>
    <row r="364" spans="1:22" x14ac:dyDescent="0.35">
      <c r="A364" s="14" t="s">
        <v>390</v>
      </c>
      <c r="B364" s="13" t="s">
        <v>572</v>
      </c>
      <c r="C364" s="13" t="s">
        <v>580</v>
      </c>
      <c r="D364" s="13">
        <v>1000</v>
      </c>
      <c r="E364" s="13">
        <v>4000</v>
      </c>
      <c r="F364">
        <f t="shared" si="93"/>
        <v>12929204.49475899</v>
      </c>
      <c r="G364" s="15">
        <v>12928305.110019719</v>
      </c>
      <c r="H364" s="7">
        <f t="shared" si="94"/>
        <v>1</v>
      </c>
      <c r="I364">
        <v>12929204.49475899</v>
      </c>
      <c r="J364" s="11">
        <f t="shared" si="95"/>
        <v>0</v>
      </c>
      <c r="K364" s="11">
        <f t="shared" si="96"/>
        <v>6.9567103469223579E-5</v>
      </c>
      <c r="L364" s="22">
        <v>754.2</v>
      </c>
      <c r="M364" s="7">
        <f t="shared" si="97"/>
        <v>1</v>
      </c>
      <c r="N364">
        <v>12929217.019923991</v>
      </c>
      <c r="O364" s="11">
        <f t="shared" si="98"/>
        <v>9.6874985665263904E-7</v>
      </c>
      <c r="P364" s="11">
        <f t="shared" si="99"/>
        <v>7.0535920718997735E-5</v>
      </c>
      <c r="Q364" s="22">
        <v>1894.837613344193</v>
      </c>
      <c r="R364" s="7">
        <f t="shared" si="100"/>
        <v>1</v>
      </c>
      <c r="S364">
        <v>12929504.82785799</v>
      </c>
      <c r="T364" s="11">
        <f t="shared" si="101"/>
        <v>2.3229047009187579E-5</v>
      </c>
      <c r="U364" s="11">
        <f t="shared" si="102"/>
        <v>9.279776645592794E-5</v>
      </c>
      <c r="V364" s="22">
        <v>2175.1069533824921</v>
      </c>
    </row>
    <row r="365" spans="1:22" x14ac:dyDescent="0.35">
      <c r="A365" s="14" t="s">
        <v>459</v>
      </c>
      <c r="B365" s="13" t="s">
        <v>572</v>
      </c>
      <c r="C365" s="13" t="s">
        <v>580</v>
      </c>
      <c r="D365" s="13">
        <v>1000</v>
      </c>
      <c r="E365" s="13">
        <v>4000</v>
      </c>
      <c r="F365">
        <f t="shared" si="93"/>
        <v>13180503.61039299</v>
      </c>
      <c r="G365" s="15">
        <v>13179957.76831861</v>
      </c>
      <c r="H365" s="7">
        <f t="shared" si="94"/>
        <v>1</v>
      </c>
      <c r="I365">
        <v>13180626.121235991</v>
      </c>
      <c r="J365" s="11">
        <f t="shared" si="95"/>
        <v>9.2948529602999955E-6</v>
      </c>
      <c r="K365" s="11">
        <f t="shared" si="96"/>
        <v>5.0709792028862768E-5</v>
      </c>
      <c r="L365" s="22">
        <v>890.6</v>
      </c>
      <c r="M365" s="7">
        <f t="shared" si="97"/>
        <v>1</v>
      </c>
      <c r="N365">
        <v>13180503.61039299</v>
      </c>
      <c r="O365" s="11">
        <f t="shared" si="98"/>
        <v>0</v>
      </c>
      <c r="P365" s="11">
        <f t="shared" si="99"/>
        <v>4.1414554126371748E-5</v>
      </c>
      <c r="Q365" s="22">
        <v>2698.9732673168178</v>
      </c>
      <c r="R365" s="7">
        <f t="shared" si="100"/>
        <v>1</v>
      </c>
      <c r="S365">
        <v>13180587.314949989</v>
      </c>
      <c r="T365" s="11">
        <f t="shared" si="101"/>
        <v>6.350634199874276E-6</v>
      </c>
      <c r="U365" s="11">
        <f t="shared" si="102"/>
        <v>4.7765451334929832E-5</v>
      </c>
      <c r="V365" s="22">
        <v>2565.7802786827092</v>
      </c>
    </row>
    <row r="366" spans="1:22" x14ac:dyDescent="0.35">
      <c r="A366" s="14" t="s">
        <v>391</v>
      </c>
      <c r="B366" s="13" t="s">
        <v>572</v>
      </c>
      <c r="C366" s="13" t="s">
        <v>580</v>
      </c>
      <c r="D366" s="13">
        <v>1000</v>
      </c>
      <c r="E366" s="13">
        <v>4000</v>
      </c>
      <c r="F366">
        <f t="shared" si="93"/>
        <v>13404641.84017799</v>
      </c>
      <c r="G366" s="15">
        <v>13404516.473246099</v>
      </c>
      <c r="H366" s="7">
        <f t="shared" si="94"/>
        <v>1</v>
      </c>
      <c r="I366">
        <v>13405421.217007991</v>
      </c>
      <c r="J366" s="11">
        <f t="shared" si="95"/>
        <v>5.8142309156249829E-5</v>
      </c>
      <c r="K366" s="11">
        <f t="shared" si="96"/>
        <v>6.7495441830913154E-5</v>
      </c>
      <c r="L366" s="22">
        <v>581.6</v>
      </c>
      <c r="M366" s="7">
        <f t="shared" si="97"/>
        <v>1</v>
      </c>
      <c r="N366">
        <v>13404641.84017799</v>
      </c>
      <c r="O366" s="11">
        <f t="shared" si="98"/>
        <v>0</v>
      </c>
      <c r="P366" s="11">
        <f t="shared" si="99"/>
        <v>9.3525888935484575E-6</v>
      </c>
      <c r="Q366" s="22">
        <v>1795.758118629456</v>
      </c>
      <c r="R366" s="7">
        <f t="shared" si="100"/>
        <v>1</v>
      </c>
      <c r="S366">
        <v>13404641.84017799</v>
      </c>
      <c r="T366" s="11">
        <f t="shared" si="101"/>
        <v>0</v>
      </c>
      <c r="U366" s="11">
        <f t="shared" si="102"/>
        <v>9.3525888935484575E-6</v>
      </c>
      <c r="V366" s="22">
        <v>2386.503438949585</v>
      </c>
    </row>
    <row r="367" spans="1:22" x14ac:dyDescent="0.35">
      <c r="A367" s="14" t="s">
        <v>388</v>
      </c>
      <c r="B367" s="13" t="s">
        <v>572</v>
      </c>
      <c r="C367" s="13" t="s">
        <v>580</v>
      </c>
      <c r="D367" s="13">
        <v>1000</v>
      </c>
      <c r="E367" s="13">
        <v>4000</v>
      </c>
      <c r="F367">
        <f t="shared" si="93"/>
        <v>13125787.04451799</v>
      </c>
      <c r="G367" s="15">
        <v>13125768.14484462</v>
      </c>
      <c r="H367" s="7">
        <f t="shared" si="94"/>
        <v>1</v>
      </c>
      <c r="I367">
        <v>13126692.22515999</v>
      </c>
      <c r="J367" s="11">
        <f t="shared" si="95"/>
        <v>6.8962008825026506E-5</v>
      </c>
      <c r="K367" s="11">
        <f t="shared" si="96"/>
        <v>7.0401998966670892E-5</v>
      </c>
      <c r="L367" s="22">
        <v>443.5</v>
      </c>
      <c r="M367" s="7">
        <f t="shared" si="97"/>
        <v>1</v>
      </c>
      <c r="N367">
        <v>13125787.04451799</v>
      </c>
      <c r="O367" s="11">
        <f t="shared" si="98"/>
        <v>0</v>
      </c>
      <c r="P367" s="11">
        <f t="shared" si="99"/>
        <v>1.4398908438793073E-6</v>
      </c>
      <c r="Q367" s="22">
        <v>1692.6890847682951</v>
      </c>
      <c r="R367" s="7">
        <f t="shared" si="100"/>
        <v>1</v>
      </c>
      <c r="S367">
        <v>13125847.18883799</v>
      </c>
      <c r="T367" s="11">
        <f t="shared" si="101"/>
        <v>4.5821496109890362E-6</v>
      </c>
      <c r="U367" s="11">
        <f t="shared" si="102"/>
        <v>6.022047052663614E-6</v>
      </c>
      <c r="V367" s="22">
        <v>2101.036696195602</v>
      </c>
    </row>
    <row r="368" spans="1:22" x14ac:dyDescent="0.35">
      <c r="A368" s="14" t="s">
        <v>443</v>
      </c>
      <c r="B368" s="13" t="s">
        <v>572</v>
      </c>
      <c r="C368" s="13" t="s">
        <v>580</v>
      </c>
      <c r="D368" s="13">
        <v>1000</v>
      </c>
      <c r="E368" s="13">
        <v>4000</v>
      </c>
      <c r="F368">
        <f t="shared" si="93"/>
        <v>12836411.929203991</v>
      </c>
      <c r="G368" s="15">
        <v>12835615.709301149</v>
      </c>
      <c r="H368" s="7">
        <f t="shared" si="94"/>
        <v>1</v>
      </c>
      <c r="I368">
        <v>12836460.20718799</v>
      </c>
      <c r="J368" s="11">
        <f t="shared" si="95"/>
        <v>3.7610185981211024E-6</v>
      </c>
      <c r="K368" s="11">
        <f t="shared" si="96"/>
        <v>6.5793328965769866E-5</v>
      </c>
      <c r="L368" s="22">
        <v>399.2</v>
      </c>
      <c r="M368" s="7">
        <f t="shared" si="97"/>
        <v>1</v>
      </c>
      <c r="N368">
        <v>12836411.929203991</v>
      </c>
      <c r="O368" s="11">
        <f t="shared" si="98"/>
        <v>0</v>
      </c>
      <c r="P368" s="11">
        <f t="shared" si="99"/>
        <v>6.2032077063853242E-5</v>
      </c>
      <c r="Q368" s="22">
        <v>1647.6482660770421</v>
      </c>
      <c r="R368" s="7">
        <f t="shared" si="100"/>
        <v>1</v>
      </c>
      <c r="S368">
        <v>12836411.92996899</v>
      </c>
      <c r="T368" s="11">
        <f t="shared" si="101"/>
        <v>5.9596057128675245E-11</v>
      </c>
      <c r="U368" s="11">
        <f t="shared" si="102"/>
        <v>6.2032136663607248E-5</v>
      </c>
      <c r="V368" s="22">
        <v>2134.9163386821751</v>
      </c>
    </row>
    <row r="369" spans="1:22" x14ac:dyDescent="0.35">
      <c r="A369" s="14" t="s">
        <v>455</v>
      </c>
      <c r="B369" s="13" t="s">
        <v>572</v>
      </c>
      <c r="C369" s="13" t="s">
        <v>580</v>
      </c>
      <c r="D369" s="13">
        <v>1000</v>
      </c>
      <c r="E369" s="13">
        <v>4000</v>
      </c>
      <c r="F369">
        <f t="shared" si="93"/>
        <v>12955344.132255999</v>
      </c>
      <c r="G369" s="15">
        <v>12955002.9702882</v>
      </c>
      <c r="H369" s="7">
        <f t="shared" si="94"/>
        <v>1</v>
      </c>
      <c r="I369">
        <v>12955703.693538999</v>
      </c>
      <c r="J369" s="11">
        <f t="shared" si="95"/>
        <v>2.7753896718542882E-5</v>
      </c>
      <c r="K369" s="11">
        <f t="shared" si="96"/>
        <v>5.4089007343800911E-5</v>
      </c>
      <c r="L369" s="22">
        <v>417.7</v>
      </c>
      <c r="M369" s="7">
        <f t="shared" si="97"/>
        <v>1</v>
      </c>
      <c r="N369">
        <v>12955344.132255999</v>
      </c>
      <c r="O369" s="11">
        <f t="shared" si="98"/>
        <v>0</v>
      </c>
      <c r="P369" s="11">
        <f t="shared" si="99"/>
        <v>2.6334379743602478E-5</v>
      </c>
      <c r="Q369" s="22">
        <v>1866.541730642319</v>
      </c>
      <c r="R369" s="7">
        <f t="shared" si="100"/>
        <v>1</v>
      </c>
      <c r="S369">
        <v>12955344.132255999</v>
      </c>
      <c r="T369" s="11">
        <f t="shared" si="101"/>
        <v>0</v>
      </c>
      <c r="U369" s="11">
        <f t="shared" si="102"/>
        <v>2.6334379743602478E-5</v>
      </c>
      <c r="V369" s="22">
        <v>2548.0625562667851</v>
      </c>
    </row>
    <row r="370" spans="1:22" x14ac:dyDescent="0.35">
      <c r="A370" s="14" t="s">
        <v>446</v>
      </c>
      <c r="B370" s="13" t="s">
        <v>572</v>
      </c>
      <c r="C370" s="13" t="s">
        <v>580</v>
      </c>
      <c r="D370" s="13">
        <v>1000</v>
      </c>
      <c r="E370" s="13">
        <v>4000</v>
      </c>
      <c r="F370">
        <f t="shared" si="93"/>
        <v>13445753.976526991</v>
      </c>
      <c r="G370" s="15">
        <v>13445378.428520819</v>
      </c>
      <c r="H370" s="7">
        <f t="shared" si="94"/>
        <v>1</v>
      </c>
      <c r="I370">
        <v>13446237.617524991</v>
      </c>
      <c r="J370" s="11">
        <f t="shared" si="95"/>
        <v>3.596979379844361E-5</v>
      </c>
      <c r="K370" s="11">
        <f t="shared" si="96"/>
        <v>6.3902180867523757E-5</v>
      </c>
      <c r="L370" s="22">
        <v>428.8</v>
      </c>
      <c r="M370" s="7">
        <f t="shared" si="97"/>
        <v>1</v>
      </c>
      <c r="N370">
        <v>13445753.976526991</v>
      </c>
      <c r="O370" s="11">
        <f t="shared" si="98"/>
        <v>0</v>
      </c>
      <c r="P370" s="11">
        <f t="shared" si="99"/>
        <v>2.7931382383015321E-5</v>
      </c>
      <c r="Q370" s="22">
        <v>1761.9099547863009</v>
      </c>
      <c r="R370" s="7">
        <f t="shared" si="100"/>
        <v>1</v>
      </c>
      <c r="S370">
        <v>13445753.976526991</v>
      </c>
      <c r="T370" s="11">
        <f t="shared" si="101"/>
        <v>0</v>
      </c>
      <c r="U370" s="11">
        <f t="shared" si="102"/>
        <v>2.7931382383015321E-5</v>
      </c>
      <c r="V370" s="22">
        <v>2367.7108027935028</v>
      </c>
    </row>
    <row r="371" spans="1:22" x14ac:dyDescent="0.35">
      <c r="A371" s="14" t="s">
        <v>187</v>
      </c>
      <c r="B371" s="13" t="s">
        <v>574</v>
      </c>
      <c r="C371" s="13" t="s">
        <v>580</v>
      </c>
      <c r="D371" s="13">
        <v>1200</v>
      </c>
      <c r="E371" s="13">
        <v>3000</v>
      </c>
      <c r="F371">
        <f t="shared" si="93"/>
        <v>15278399.57697</v>
      </c>
      <c r="G371" s="15">
        <v>14667362.637218149</v>
      </c>
      <c r="H371" s="7">
        <f t="shared" si="94"/>
        <v>0</v>
      </c>
      <c r="I371">
        <v>31045406.392668001</v>
      </c>
      <c r="J371" s="11">
        <f t="shared" si="95"/>
        <v>1.0319802631333526</v>
      </c>
      <c r="K371" s="11">
        <f t="shared" si="96"/>
        <v>1.1166318144947807</v>
      </c>
      <c r="L371" s="22">
        <v>4107.2969090938568</v>
      </c>
      <c r="M371" s="7">
        <f t="shared" si="97"/>
        <v>0</v>
      </c>
      <c r="N371">
        <v>64966590.732928</v>
      </c>
      <c r="O371" s="11">
        <f t="shared" si="98"/>
        <v>3.2521856039722792</v>
      </c>
      <c r="P371" s="11">
        <f t="shared" si="99"/>
        <v>3.429330094292244</v>
      </c>
      <c r="Q371" s="22">
        <v>7210.3547661304474</v>
      </c>
      <c r="R371" s="7">
        <f t="shared" si="100"/>
        <v>1</v>
      </c>
      <c r="S371">
        <v>15278399.57697</v>
      </c>
      <c r="T371" s="11">
        <f t="shared" si="101"/>
        <v>0</v>
      </c>
      <c r="U371" s="11">
        <f t="shared" si="102"/>
        <v>4.1659632673249382E-2</v>
      </c>
      <c r="V371" s="22">
        <v>3318.7393755912781</v>
      </c>
    </row>
    <row r="372" spans="1:22" x14ac:dyDescent="0.35">
      <c r="A372" s="14" t="s">
        <v>191</v>
      </c>
      <c r="B372" s="13" t="s">
        <v>574</v>
      </c>
      <c r="C372" s="13" t="s">
        <v>580</v>
      </c>
      <c r="D372" s="13">
        <v>1200</v>
      </c>
      <c r="E372" s="13">
        <v>3000</v>
      </c>
      <c r="F372">
        <f t="shared" si="93"/>
        <v>19112540.494539998</v>
      </c>
      <c r="G372" s="15">
        <v>17216329.016109969</v>
      </c>
      <c r="H372" s="7">
        <f t="shared" si="94"/>
        <v>1</v>
      </c>
      <c r="I372">
        <v>19112540.494539998</v>
      </c>
      <c r="J372" s="11">
        <f t="shared" si="95"/>
        <v>0</v>
      </c>
      <c r="K372" s="11">
        <f t="shared" si="96"/>
        <v>0.11014029045655856</v>
      </c>
      <c r="L372" s="22">
        <v>5344.3734841346741</v>
      </c>
      <c r="M372" s="7">
        <f t="shared" si="97"/>
        <v>0</v>
      </c>
      <c r="N372">
        <v>31475372.156459</v>
      </c>
      <c r="O372" s="11">
        <f t="shared" si="98"/>
        <v>0.64684397479501854</v>
      </c>
      <c r="P372" s="11">
        <f t="shared" si="99"/>
        <v>0.82822784851557529</v>
      </c>
      <c r="Q372" s="22">
        <v>7220.6713154315948</v>
      </c>
      <c r="R372" s="7">
        <f t="shared" si="100"/>
        <v>0</v>
      </c>
      <c r="S372">
        <v>34304441.134295009</v>
      </c>
      <c r="T372" s="11">
        <f t="shared" si="101"/>
        <v>0.79486558284049036</v>
      </c>
      <c r="U372" s="11">
        <f t="shared" si="102"/>
        <v>0.99255259946502228</v>
      </c>
      <c r="V372" s="22">
        <v>7223.6236772537231</v>
      </c>
    </row>
    <row r="373" spans="1:22" x14ac:dyDescent="0.35">
      <c r="A373" s="14" t="s">
        <v>193</v>
      </c>
      <c r="B373" s="13" t="s">
        <v>574</v>
      </c>
      <c r="C373" s="13" t="s">
        <v>580</v>
      </c>
      <c r="D373" s="13">
        <v>1200</v>
      </c>
      <c r="E373" s="13">
        <v>3000</v>
      </c>
      <c r="F373">
        <f t="shared" si="93"/>
        <v>16956108.850373998</v>
      </c>
      <c r="G373" s="15">
        <v>16027679.10192034</v>
      </c>
      <c r="H373" s="7">
        <f t="shared" si="94"/>
        <v>0</v>
      </c>
      <c r="I373">
        <v>17757357.551305991</v>
      </c>
      <c r="J373" s="11">
        <f t="shared" si="95"/>
        <v>4.7254279151098949E-2</v>
      </c>
      <c r="K373" s="11">
        <f t="shared" si="96"/>
        <v>0.10791821063964344</v>
      </c>
      <c r="L373" s="22">
        <v>5515.2574830055237</v>
      </c>
      <c r="M373" s="7">
        <f t="shared" si="97"/>
        <v>0</v>
      </c>
      <c r="N373">
        <v>17094129.970948</v>
      </c>
      <c r="O373" s="11">
        <f t="shared" si="98"/>
        <v>8.1399053162457685E-3</v>
      </c>
      <c r="P373" s="11">
        <f t="shared" si="99"/>
        <v>6.6538072184130742E-2</v>
      </c>
      <c r="Q373" s="22">
        <v>7209.2293374538422</v>
      </c>
      <c r="R373" s="7">
        <f t="shared" si="100"/>
        <v>1</v>
      </c>
      <c r="S373">
        <v>16956108.850373998</v>
      </c>
      <c r="T373" s="11">
        <f t="shared" si="101"/>
        <v>0</v>
      </c>
      <c r="U373" s="11">
        <f t="shared" si="102"/>
        <v>5.7926649426267789E-2</v>
      </c>
      <c r="V373" s="22">
        <v>7214.7799172401428</v>
      </c>
    </row>
    <row r="374" spans="1:22" x14ac:dyDescent="0.35">
      <c r="A374" s="14" t="s">
        <v>188</v>
      </c>
      <c r="B374" s="13" t="s">
        <v>574</v>
      </c>
      <c r="C374" s="13" t="s">
        <v>580</v>
      </c>
      <c r="D374" s="13">
        <v>1200</v>
      </c>
      <c r="E374" s="13">
        <v>3000</v>
      </c>
      <c r="F374">
        <f t="shared" si="93"/>
        <v>17368074.844462</v>
      </c>
      <c r="G374" s="15">
        <v>15429159.97386721</v>
      </c>
      <c r="H374" s="7">
        <f t="shared" si="94"/>
        <v>1</v>
      </c>
      <c r="I374">
        <v>17368074.844462</v>
      </c>
      <c r="J374" s="11">
        <f t="shared" si="95"/>
        <v>0</v>
      </c>
      <c r="K374" s="11">
        <f t="shared" si="96"/>
        <v>0.12566561458166117</v>
      </c>
      <c r="L374" s="22">
        <v>3976.528889894485</v>
      </c>
      <c r="M374" s="7">
        <f t="shared" si="97"/>
        <v>0</v>
      </c>
      <c r="N374">
        <v>55343696.785143003</v>
      </c>
      <c r="O374" s="11">
        <f t="shared" si="98"/>
        <v>2.1865187869563991</v>
      </c>
      <c r="P374" s="11">
        <f t="shared" si="99"/>
        <v>2.5869546286952847</v>
      </c>
      <c r="Q374" s="22">
        <v>7208.1403913497916</v>
      </c>
      <c r="R374" s="7">
        <f t="shared" si="100"/>
        <v>0</v>
      </c>
      <c r="S374">
        <v>26740480.575667009</v>
      </c>
      <c r="T374" s="11">
        <f t="shared" si="101"/>
        <v>0.53963411691500762</v>
      </c>
      <c r="U374" s="11">
        <f t="shared" si="102"/>
        <v>0.7331131844480252</v>
      </c>
      <c r="V374" s="22">
        <v>7223.0383245944977</v>
      </c>
    </row>
    <row r="375" spans="1:22" x14ac:dyDescent="0.35">
      <c r="A375" s="14" t="s">
        <v>471</v>
      </c>
      <c r="B375" s="13" t="s">
        <v>574</v>
      </c>
      <c r="C375" s="13" t="s">
        <v>580</v>
      </c>
      <c r="D375" s="13">
        <v>1200</v>
      </c>
      <c r="E375" s="13">
        <v>3000</v>
      </c>
      <c r="F375">
        <f t="shared" si="93"/>
        <v>18131713.906291999</v>
      </c>
      <c r="G375" s="15">
        <v>15578396.70305093</v>
      </c>
      <c r="H375" s="7">
        <f t="shared" si="94"/>
        <v>1</v>
      </c>
      <c r="I375">
        <v>18131713.906291999</v>
      </c>
      <c r="J375" s="11">
        <f t="shared" si="95"/>
        <v>0</v>
      </c>
      <c r="K375" s="11">
        <f t="shared" si="96"/>
        <v>0.16390115439421427</v>
      </c>
      <c r="L375" s="22">
        <v>7211.7</v>
      </c>
      <c r="M375" s="7">
        <f t="shared" si="97"/>
        <v>0</v>
      </c>
      <c r="N375">
        <v>34553375.396935001</v>
      </c>
      <c r="O375" s="11">
        <f t="shared" si="98"/>
        <v>0.90568721608520519</v>
      </c>
      <c r="P375" s="11">
        <f t="shared" si="99"/>
        <v>1.2180315507158668</v>
      </c>
      <c r="Q375" s="22">
        <v>7210.342493057251</v>
      </c>
      <c r="R375" s="7">
        <f t="shared" si="100"/>
        <v>0</v>
      </c>
      <c r="S375">
        <v>60588417.275839001</v>
      </c>
      <c r="T375" s="11">
        <f t="shared" si="101"/>
        <v>2.3415714360468614</v>
      </c>
      <c r="U375" s="11">
        <f t="shared" si="102"/>
        <v>2.8892588519056743</v>
      </c>
      <c r="V375" s="22">
        <v>7257.336626291275</v>
      </c>
    </row>
    <row r="376" spans="1:22" x14ac:dyDescent="0.35">
      <c r="A376" s="14" t="s">
        <v>208</v>
      </c>
      <c r="B376" s="13" t="s">
        <v>574</v>
      </c>
      <c r="C376" s="13" t="s">
        <v>580</v>
      </c>
      <c r="D376" s="13">
        <v>1200</v>
      </c>
      <c r="E376" s="13">
        <v>3000</v>
      </c>
      <c r="F376">
        <f t="shared" si="93"/>
        <v>11837451.920868989</v>
      </c>
      <c r="G376" s="15">
        <v>11824301.426131099</v>
      </c>
      <c r="H376" s="7">
        <f t="shared" si="94"/>
        <v>0</v>
      </c>
      <c r="I376">
        <v>11844416.602075011</v>
      </c>
      <c r="J376" s="11">
        <f t="shared" si="95"/>
        <v>5.8835983052594142E-4</v>
      </c>
      <c r="K376" s="11">
        <f t="shared" si="96"/>
        <v>1.7011724599186528E-3</v>
      </c>
      <c r="L376" s="22">
        <v>1764.474650859833</v>
      </c>
      <c r="M376" s="7">
        <f t="shared" si="97"/>
        <v>1</v>
      </c>
      <c r="N376">
        <v>11837451.920868989</v>
      </c>
      <c r="O376" s="11">
        <f t="shared" si="98"/>
        <v>0</v>
      </c>
      <c r="P376" s="11">
        <f t="shared" si="99"/>
        <v>1.1121582801354927E-3</v>
      </c>
      <c r="Q376" s="22">
        <v>6709.8655261993408</v>
      </c>
      <c r="R376" s="7">
        <f t="shared" si="100"/>
        <v>1</v>
      </c>
      <c r="S376">
        <v>11837471.13700901</v>
      </c>
      <c r="T376" s="11">
        <f t="shared" si="101"/>
        <v>1.6233341557874767E-6</v>
      </c>
      <c r="U376" s="11">
        <f t="shared" si="102"/>
        <v>1.113783419695803E-3</v>
      </c>
      <c r="V376" s="22">
        <v>3301.7292098999023</v>
      </c>
    </row>
    <row r="377" spans="1:22" x14ac:dyDescent="0.35">
      <c r="A377" s="14" t="s">
        <v>204</v>
      </c>
      <c r="B377" s="13" t="s">
        <v>574</v>
      </c>
      <c r="C377" s="13" t="s">
        <v>580</v>
      </c>
      <c r="D377" s="13">
        <v>1200</v>
      </c>
      <c r="E377" s="13">
        <v>3000</v>
      </c>
      <c r="F377">
        <f t="shared" si="93"/>
        <v>12166990.478440011</v>
      </c>
      <c r="G377" s="15">
        <v>12148860.760873759</v>
      </c>
      <c r="H377" s="7">
        <f t="shared" si="94"/>
        <v>0</v>
      </c>
      <c r="I377">
        <v>12291000.24741699</v>
      </c>
      <c r="J377" s="11">
        <f t="shared" si="95"/>
        <v>1.0192312486536839E-2</v>
      </c>
      <c r="K377" s="11">
        <f t="shared" si="96"/>
        <v>1.1699820200508075E-2</v>
      </c>
      <c r="L377" s="22">
        <v>1364.3013589382169</v>
      </c>
      <c r="M377" s="7" t="s">
        <v>561</v>
      </c>
      <c r="N377" t="s">
        <v>561</v>
      </c>
      <c r="O377" t="s">
        <v>561</v>
      </c>
      <c r="P377" t="s">
        <v>561</v>
      </c>
      <c r="Q377" s="24" t="s">
        <v>561</v>
      </c>
      <c r="R377" s="7">
        <f t="shared" si="100"/>
        <v>1</v>
      </c>
      <c r="S377">
        <v>12166990.478440011</v>
      </c>
      <c r="T377" s="11">
        <f t="shared" si="101"/>
        <v>0</v>
      </c>
      <c r="U377" s="11">
        <f t="shared" si="102"/>
        <v>1.4922977489905684E-3</v>
      </c>
      <c r="V377" s="22">
        <v>7232.1912059783936</v>
      </c>
    </row>
    <row r="378" spans="1:22" x14ac:dyDescent="0.35">
      <c r="A378" s="14" t="s">
        <v>206</v>
      </c>
      <c r="B378" s="13" t="s">
        <v>574</v>
      </c>
      <c r="C378" s="13" t="s">
        <v>580</v>
      </c>
      <c r="D378" s="13">
        <v>1200</v>
      </c>
      <c r="E378" s="13">
        <v>3000</v>
      </c>
      <c r="F378">
        <f t="shared" si="93"/>
        <v>11699567.860640001</v>
      </c>
      <c r="G378" s="15">
        <v>11669534.436122321</v>
      </c>
      <c r="H378" s="7">
        <f t="shared" si="94"/>
        <v>1</v>
      </c>
      <c r="I378">
        <v>11699567.860640001</v>
      </c>
      <c r="J378" s="11">
        <f t="shared" si="95"/>
        <v>0</v>
      </c>
      <c r="K378" s="11">
        <f t="shared" si="96"/>
        <v>2.57366090156205E-3</v>
      </c>
      <c r="L378" s="22">
        <v>1634.086908102036</v>
      </c>
      <c r="M378" s="7" t="s">
        <v>561</v>
      </c>
      <c r="N378" t="s">
        <v>561</v>
      </c>
      <c r="O378" t="s">
        <v>561</v>
      </c>
      <c r="P378" t="s">
        <v>561</v>
      </c>
      <c r="Q378" s="24" t="s">
        <v>561</v>
      </c>
      <c r="R378" s="7">
        <f t="shared" si="100"/>
        <v>0</v>
      </c>
      <c r="S378">
        <v>11723700.308107991</v>
      </c>
      <c r="T378" s="11">
        <f t="shared" si="101"/>
        <v>2.0626785326983955E-3</v>
      </c>
      <c r="U378" s="11">
        <f t="shared" si="102"/>
        <v>4.6416480693525428E-3</v>
      </c>
      <c r="V378" s="22">
        <v>1301.69623875618</v>
      </c>
    </row>
    <row r="379" spans="1:22" x14ac:dyDescent="0.35">
      <c r="A379" s="14" t="s">
        <v>211</v>
      </c>
      <c r="B379" s="13" t="s">
        <v>574</v>
      </c>
      <c r="C379" s="13" t="s">
        <v>580</v>
      </c>
      <c r="D379" s="13">
        <v>1200</v>
      </c>
      <c r="E379" s="13">
        <v>3000</v>
      </c>
      <c r="F379">
        <f t="shared" si="93"/>
        <v>12072408.03792998</v>
      </c>
      <c r="G379" s="15">
        <v>12071200.927488489</v>
      </c>
      <c r="H379" s="7">
        <f t="shared" si="94"/>
        <v>1</v>
      </c>
      <c r="I379">
        <v>12072408.03792998</v>
      </c>
      <c r="J379" s="11">
        <f t="shared" si="95"/>
        <v>0</v>
      </c>
      <c r="K379" s="11">
        <f t="shared" si="96"/>
        <v>9.9999200472438565E-5</v>
      </c>
      <c r="L379" s="22">
        <v>1894.9</v>
      </c>
      <c r="M379" s="7">
        <f t="shared" ref="M379:M400" si="103">IF(O379&lt;=0.0001,1,0)</f>
        <v>1</v>
      </c>
      <c r="N379">
        <v>12072408.03793006</v>
      </c>
      <c r="O379" s="11">
        <f t="shared" ref="O379:O400" si="104">(N379-$F379)/$F379</f>
        <v>6.6344461821773037E-15</v>
      </c>
      <c r="P379" s="11">
        <f t="shared" ref="P379:P400" si="105">(N379-$G379)/$G379</f>
        <v>9.9999200479073679E-5</v>
      </c>
      <c r="Q379" s="22">
        <v>3235.3379588127141</v>
      </c>
      <c r="R379" s="7">
        <f t="shared" si="100"/>
        <v>1</v>
      </c>
      <c r="S379">
        <v>12072408.03793001</v>
      </c>
      <c r="T379" s="11">
        <f t="shared" si="101"/>
        <v>2.4686311375543456E-15</v>
      </c>
      <c r="U379" s="11">
        <f t="shared" si="102"/>
        <v>9.9999200474907443E-5</v>
      </c>
      <c r="V379" s="22">
        <v>5826.9346358776093</v>
      </c>
    </row>
    <row r="380" spans="1:22" x14ac:dyDescent="0.35">
      <c r="A380" s="14" t="s">
        <v>292</v>
      </c>
      <c r="B380" s="13" t="s">
        <v>574</v>
      </c>
      <c r="C380" s="13" t="s">
        <v>580</v>
      </c>
      <c r="D380" s="13">
        <v>1200</v>
      </c>
      <c r="E380" s="13">
        <v>3000</v>
      </c>
      <c r="F380">
        <f t="shared" si="93"/>
        <v>11823523.52084703</v>
      </c>
      <c r="G380" s="15">
        <v>11822571.02630965</v>
      </c>
      <c r="H380" s="7">
        <f t="shared" si="94"/>
        <v>1</v>
      </c>
      <c r="I380">
        <v>11823710.738659989</v>
      </c>
      <c r="J380" s="11">
        <f t="shared" si="95"/>
        <v>1.5834350278832328E-5</v>
      </c>
      <c r="K380" s="11">
        <f t="shared" si="96"/>
        <v>9.6401395923307242E-5</v>
      </c>
      <c r="L380" s="22">
        <v>2568.3000000000002</v>
      </c>
      <c r="M380" s="7">
        <f t="shared" si="103"/>
        <v>1</v>
      </c>
      <c r="N380">
        <v>11823523.52084705</v>
      </c>
      <c r="O380" s="11">
        <f t="shared" si="104"/>
        <v>1.7329095345744025E-15</v>
      </c>
      <c r="P380" s="11">
        <f t="shared" si="105"/>
        <v>8.0565769939586275E-5</v>
      </c>
      <c r="Q380" s="22">
        <v>2990.182670116425</v>
      </c>
      <c r="R380" s="7">
        <f t="shared" si="100"/>
        <v>1</v>
      </c>
      <c r="S380">
        <v>11823523.52084703</v>
      </c>
      <c r="T380" s="11">
        <f t="shared" si="101"/>
        <v>0</v>
      </c>
      <c r="U380" s="11">
        <f t="shared" si="102"/>
        <v>8.0565769937853232E-5</v>
      </c>
      <c r="V380" s="22">
        <v>4301.7204365730286</v>
      </c>
    </row>
    <row r="381" spans="1:22" x14ac:dyDescent="0.35">
      <c r="A381" s="14" t="s">
        <v>280</v>
      </c>
      <c r="B381" s="13" t="s">
        <v>574</v>
      </c>
      <c r="C381" s="13" t="s">
        <v>580</v>
      </c>
      <c r="D381" s="13">
        <v>1200</v>
      </c>
      <c r="E381" s="13">
        <v>3000</v>
      </c>
      <c r="F381">
        <f t="shared" si="93"/>
        <v>11008589.320073999</v>
      </c>
      <c r="G381" s="15">
        <v>11008005.63412632</v>
      </c>
      <c r="H381" s="7">
        <f t="shared" si="94"/>
        <v>1</v>
      </c>
      <c r="I381">
        <v>11009101.868051009</v>
      </c>
      <c r="J381" s="11">
        <f t="shared" si="95"/>
        <v>4.65589152349579E-5</v>
      </c>
      <c r="K381" s="11">
        <f t="shared" si="96"/>
        <v>9.9585152944534888E-5</v>
      </c>
      <c r="L381" s="22">
        <v>1729.5</v>
      </c>
      <c r="M381" s="7">
        <f t="shared" si="103"/>
        <v>1</v>
      </c>
      <c r="N381">
        <v>11008589.320073999</v>
      </c>
      <c r="O381" s="11">
        <f t="shared" si="104"/>
        <v>0</v>
      </c>
      <c r="P381" s="11">
        <f t="shared" si="105"/>
        <v>5.3023768980411591E-5</v>
      </c>
      <c r="Q381" s="22">
        <v>2307.8254609107971</v>
      </c>
      <c r="R381" s="7">
        <f t="shared" si="100"/>
        <v>1</v>
      </c>
      <c r="S381">
        <v>11008589.320073999</v>
      </c>
      <c r="T381" s="11">
        <f t="shared" si="101"/>
        <v>0</v>
      </c>
      <c r="U381" s="11">
        <f t="shared" si="102"/>
        <v>5.3023768980411591E-5</v>
      </c>
      <c r="V381" s="22">
        <v>4064.1716153621669</v>
      </c>
    </row>
    <row r="382" spans="1:22" x14ac:dyDescent="0.35">
      <c r="A382" s="14" t="s">
        <v>281</v>
      </c>
      <c r="B382" s="13" t="s">
        <v>574</v>
      </c>
      <c r="C382" s="13" t="s">
        <v>580</v>
      </c>
      <c r="D382" s="13">
        <v>1200</v>
      </c>
      <c r="E382" s="13">
        <v>3000</v>
      </c>
      <c r="F382">
        <f t="shared" si="93"/>
        <v>10942689.569761001</v>
      </c>
      <c r="G382" s="15">
        <v>10941601.565031741</v>
      </c>
      <c r="H382" s="7">
        <f t="shared" si="94"/>
        <v>1</v>
      </c>
      <c r="I382">
        <v>10942689.569761001</v>
      </c>
      <c r="J382" s="11">
        <f t="shared" si="95"/>
        <v>0</v>
      </c>
      <c r="K382" s="11">
        <f t="shared" si="96"/>
        <v>9.9437429044840471E-5</v>
      </c>
      <c r="L382" s="22">
        <v>1393.9</v>
      </c>
      <c r="M382" s="7">
        <f t="shared" si="103"/>
        <v>1</v>
      </c>
      <c r="N382">
        <v>10942689.569761001</v>
      </c>
      <c r="O382" s="11">
        <f t="shared" si="104"/>
        <v>0</v>
      </c>
      <c r="P382" s="11">
        <f t="shared" si="105"/>
        <v>9.9437429044840471E-5</v>
      </c>
      <c r="Q382" s="22">
        <v>2167.3623163700099</v>
      </c>
      <c r="R382" s="7">
        <f t="shared" si="100"/>
        <v>1</v>
      </c>
      <c r="S382">
        <v>10942694.238797</v>
      </c>
      <c r="T382" s="11">
        <f t="shared" si="101"/>
        <v>4.2668084197570423E-7</v>
      </c>
      <c r="U382" s="11">
        <f t="shared" si="102"/>
        <v>9.986415231486213E-5</v>
      </c>
      <c r="V382" s="22">
        <v>3202.5943849086761</v>
      </c>
    </row>
    <row r="383" spans="1:22" x14ac:dyDescent="0.35">
      <c r="A383" s="14" t="s">
        <v>296</v>
      </c>
      <c r="B383" s="13" t="s">
        <v>574</v>
      </c>
      <c r="C383" s="13" t="s">
        <v>580</v>
      </c>
      <c r="D383" s="13">
        <v>1200</v>
      </c>
      <c r="E383" s="13">
        <v>3000</v>
      </c>
      <c r="F383">
        <f t="shared" si="93"/>
        <v>10999722.192303941</v>
      </c>
      <c r="G383" s="15">
        <v>10998686.535443209</v>
      </c>
      <c r="H383" s="7">
        <f t="shared" si="94"/>
        <v>1</v>
      </c>
      <c r="I383">
        <v>10999737.755968999</v>
      </c>
      <c r="J383" s="11">
        <f t="shared" si="95"/>
        <v>1.4149143756878767E-6</v>
      </c>
      <c r="K383" s="11">
        <f t="shared" si="96"/>
        <v>9.5576914789093523E-5</v>
      </c>
      <c r="L383" s="22">
        <v>1931.5</v>
      </c>
      <c r="M383" s="7">
        <f t="shared" si="103"/>
        <v>1</v>
      </c>
      <c r="N383">
        <v>10999722.192303941</v>
      </c>
      <c r="O383" s="11">
        <f t="shared" si="104"/>
        <v>0</v>
      </c>
      <c r="P383" s="11">
        <f t="shared" si="105"/>
        <v>9.4161867182426137E-5</v>
      </c>
      <c r="Q383" s="22">
        <v>2306.227597951889</v>
      </c>
      <c r="R383" s="7">
        <f t="shared" si="100"/>
        <v>1</v>
      </c>
      <c r="S383">
        <v>10999722.192303989</v>
      </c>
      <c r="T383" s="11">
        <f t="shared" si="101"/>
        <v>4.4027269992226283E-15</v>
      </c>
      <c r="U383" s="11">
        <f t="shared" si="102"/>
        <v>9.4161867186829271E-5</v>
      </c>
      <c r="V383" s="22">
        <v>3284.72102856636</v>
      </c>
    </row>
    <row r="384" spans="1:22" x14ac:dyDescent="0.35">
      <c r="A384" s="14" t="s">
        <v>387</v>
      </c>
      <c r="B384" s="13" t="s">
        <v>574</v>
      </c>
      <c r="C384" s="13" t="s">
        <v>580</v>
      </c>
      <c r="D384" s="13">
        <v>1200</v>
      </c>
      <c r="E384" s="13">
        <v>3000</v>
      </c>
      <c r="F384">
        <f t="shared" si="93"/>
        <v>10682343.623078</v>
      </c>
      <c r="G384" s="15">
        <v>10681589.46606122</v>
      </c>
      <c r="H384" s="7">
        <f t="shared" si="94"/>
        <v>1</v>
      </c>
      <c r="I384">
        <v>10682343.623078</v>
      </c>
      <c r="J384" s="11">
        <f t="shared" si="95"/>
        <v>0</v>
      </c>
      <c r="K384" s="11">
        <f t="shared" si="96"/>
        <v>7.060344522474134E-5</v>
      </c>
      <c r="L384" s="22">
        <v>1317.3</v>
      </c>
      <c r="M384" s="7">
        <f t="shared" si="103"/>
        <v>1</v>
      </c>
      <c r="N384">
        <v>10682343.623078009</v>
      </c>
      <c r="O384" s="11">
        <f t="shared" si="104"/>
        <v>8.7183356712422261E-16</v>
      </c>
      <c r="P384" s="11">
        <f t="shared" si="105"/>
        <v>7.0603445225613242E-5</v>
      </c>
      <c r="Q384" s="22">
        <v>2240.3959686756129</v>
      </c>
      <c r="R384" s="7">
        <f t="shared" si="100"/>
        <v>1</v>
      </c>
      <c r="S384">
        <v>10682343.623078</v>
      </c>
      <c r="T384" s="11">
        <f t="shared" si="101"/>
        <v>0</v>
      </c>
      <c r="U384" s="11">
        <f t="shared" si="102"/>
        <v>7.060344522474134E-5</v>
      </c>
      <c r="V384" s="22">
        <v>3056.977720022202</v>
      </c>
    </row>
    <row r="385" spans="1:22" x14ac:dyDescent="0.35">
      <c r="A385" s="14" t="s">
        <v>363</v>
      </c>
      <c r="B385" s="13" t="s">
        <v>574</v>
      </c>
      <c r="C385" s="13" t="s">
        <v>580</v>
      </c>
      <c r="D385" s="13">
        <v>1200</v>
      </c>
      <c r="E385" s="13">
        <v>3000</v>
      </c>
      <c r="F385">
        <f t="shared" si="93"/>
        <v>10435439.104153991</v>
      </c>
      <c r="G385" s="15">
        <v>10434796.39884158</v>
      </c>
      <c r="H385" s="7">
        <f t="shared" si="94"/>
        <v>1</v>
      </c>
      <c r="I385">
        <v>10435736.565021999</v>
      </c>
      <c r="J385" s="11">
        <f t="shared" si="95"/>
        <v>2.8504873157663848E-5</v>
      </c>
      <c r="K385" s="11">
        <f t="shared" si="96"/>
        <v>9.0099139885774573E-5</v>
      </c>
      <c r="L385" s="22">
        <v>1330.7</v>
      </c>
      <c r="M385" s="7">
        <f t="shared" si="103"/>
        <v>1</v>
      </c>
      <c r="N385">
        <v>10435439.104153991</v>
      </c>
      <c r="O385" s="11">
        <f t="shared" si="104"/>
        <v>0</v>
      </c>
      <c r="P385" s="11">
        <f t="shared" si="105"/>
        <v>6.1592511041396025E-5</v>
      </c>
      <c r="Q385" s="22">
        <v>2069.1602280139919</v>
      </c>
      <c r="R385" s="7">
        <f t="shared" si="100"/>
        <v>1</v>
      </c>
      <c r="S385">
        <v>10435439.104153991</v>
      </c>
      <c r="T385" s="11">
        <f t="shared" si="101"/>
        <v>0</v>
      </c>
      <c r="U385" s="11">
        <f t="shared" si="102"/>
        <v>6.1592511041396025E-5</v>
      </c>
      <c r="V385" s="22">
        <v>2780.9050724506378</v>
      </c>
    </row>
    <row r="386" spans="1:22" x14ac:dyDescent="0.35">
      <c r="A386" s="14" t="s">
        <v>289</v>
      </c>
      <c r="B386" s="13" t="s">
        <v>574</v>
      </c>
      <c r="C386" s="13" t="s">
        <v>580</v>
      </c>
      <c r="D386" s="13">
        <v>1200</v>
      </c>
      <c r="E386" s="13">
        <v>3000</v>
      </c>
      <c r="F386">
        <f t="shared" ref="F386:F426" si="106">MIN(I386,N386,S386)</f>
        <v>9805357.5015799943</v>
      </c>
      <c r="G386" s="15">
        <v>9804518.7185420189</v>
      </c>
      <c r="H386" s="7">
        <f t="shared" ref="H386:H426" si="107">IF(J386&lt;=0.0001,1,0)</f>
        <v>1</v>
      </c>
      <c r="I386">
        <v>9805467.5238939933</v>
      </c>
      <c r="J386" s="11">
        <f t="shared" ref="J386:J426" si="108">(I386-$F386)/$F386</f>
        <v>1.1220632596137731E-5</v>
      </c>
      <c r="K386" s="11">
        <f t="shared" ref="K386:K426" si="109">(I386-$G386)/$G386</f>
        <v>9.6772251572133745E-5</v>
      </c>
      <c r="L386" s="22">
        <v>867.5</v>
      </c>
      <c r="M386" s="7">
        <f t="shared" si="103"/>
        <v>1</v>
      </c>
      <c r="N386">
        <v>9805357.5015799943</v>
      </c>
      <c r="O386" s="11">
        <f t="shared" si="104"/>
        <v>0</v>
      </c>
      <c r="P386" s="11">
        <f t="shared" si="105"/>
        <v>8.5550659043482526E-5</v>
      </c>
      <c r="Q386" s="22">
        <v>1825.1967959403989</v>
      </c>
      <c r="R386" s="7">
        <f t="shared" si="100"/>
        <v>1</v>
      </c>
      <c r="S386">
        <v>9805373.9272999931</v>
      </c>
      <c r="T386" s="11">
        <f t="shared" si="101"/>
        <v>1.6751780846471065E-6</v>
      </c>
      <c r="U386" s="11">
        <f t="shared" si="102"/>
        <v>8.7225980440718784E-5</v>
      </c>
      <c r="V386" s="22">
        <v>2400.3097336292271</v>
      </c>
    </row>
    <row r="387" spans="1:22" x14ac:dyDescent="0.35">
      <c r="A387" s="14" t="s">
        <v>534</v>
      </c>
      <c r="B387" s="13" t="s">
        <v>574</v>
      </c>
      <c r="C387" s="13" t="s">
        <v>580</v>
      </c>
      <c r="D387" s="13">
        <v>1200</v>
      </c>
      <c r="E387" s="13">
        <v>3000</v>
      </c>
      <c r="F387">
        <f t="shared" si="106"/>
        <v>9341336.1862939931</v>
      </c>
      <c r="G387" s="15">
        <v>9341173.2453762293</v>
      </c>
      <c r="H387" s="7">
        <f t="shared" si="107"/>
        <v>1</v>
      </c>
      <c r="I387">
        <v>9341336.1862939931</v>
      </c>
      <c r="J387" s="11">
        <f t="shared" si="108"/>
        <v>0</v>
      </c>
      <c r="K387" s="11">
        <f t="shared" si="109"/>
        <v>1.7443303264342396E-5</v>
      </c>
      <c r="L387" s="22">
        <v>736.9</v>
      </c>
      <c r="M387" s="7">
        <f t="shared" si="103"/>
        <v>1</v>
      </c>
      <c r="N387">
        <v>9341336.186293995</v>
      </c>
      <c r="O387" s="11">
        <f t="shared" si="104"/>
        <v>1.9939814948143172E-16</v>
      </c>
      <c r="P387" s="11">
        <f t="shared" si="105"/>
        <v>1.7443303264541797E-5</v>
      </c>
      <c r="Q387" s="22">
        <v>1667.1005868911741</v>
      </c>
      <c r="R387" s="7">
        <f t="shared" si="100"/>
        <v>1</v>
      </c>
      <c r="S387">
        <v>9341336.1862939969</v>
      </c>
      <c r="T387" s="11">
        <f t="shared" si="101"/>
        <v>3.9879629896286343E-16</v>
      </c>
      <c r="U387" s="11">
        <f t="shared" si="102"/>
        <v>1.7443303264741199E-5</v>
      </c>
      <c r="V387" s="22">
        <v>2016.548871994019</v>
      </c>
    </row>
    <row r="388" spans="1:22" x14ac:dyDescent="0.35">
      <c r="A388" s="14" t="s">
        <v>392</v>
      </c>
      <c r="B388" s="13" t="s">
        <v>574</v>
      </c>
      <c r="C388" s="13" t="s">
        <v>580</v>
      </c>
      <c r="D388" s="13">
        <v>1200</v>
      </c>
      <c r="E388" s="13">
        <v>3000</v>
      </c>
      <c r="F388">
        <f t="shared" si="106"/>
        <v>9274387.3282209933</v>
      </c>
      <c r="G388" s="15">
        <v>9273768.1406788491</v>
      </c>
      <c r="H388" s="7">
        <f t="shared" si="107"/>
        <v>1</v>
      </c>
      <c r="I388">
        <v>9274387.3282209933</v>
      </c>
      <c r="J388" s="11">
        <f t="shared" si="108"/>
        <v>0</v>
      </c>
      <c r="K388" s="11">
        <f t="shared" si="109"/>
        <v>6.6767632396175472E-5</v>
      </c>
      <c r="L388" s="22">
        <v>1103.2</v>
      </c>
      <c r="M388" s="7">
        <f t="shared" si="103"/>
        <v>1</v>
      </c>
      <c r="N388">
        <v>9274404.2388879918</v>
      </c>
      <c r="O388" s="11">
        <f t="shared" si="104"/>
        <v>1.8233729517656001E-6</v>
      </c>
      <c r="P388" s="11">
        <f t="shared" si="105"/>
        <v>6.8591127090236048E-5</v>
      </c>
      <c r="Q388" s="22">
        <v>1969.501323461533</v>
      </c>
      <c r="R388" s="7">
        <f t="shared" si="100"/>
        <v>1</v>
      </c>
      <c r="S388">
        <v>9274390.1010179929</v>
      </c>
      <c r="T388" s="11">
        <f t="shared" si="101"/>
        <v>2.9897360348815523E-7</v>
      </c>
      <c r="U388" s="11">
        <f t="shared" si="102"/>
        <v>6.7066625961423291E-5</v>
      </c>
      <c r="V388" s="22">
        <v>2634.99884724617</v>
      </c>
    </row>
    <row r="389" spans="1:22" x14ac:dyDescent="0.35">
      <c r="A389" s="14" t="s">
        <v>291</v>
      </c>
      <c r="B389" s="13" t="s">
        <v>574</v>
      </c>
      <c r="C389" s="13" t="s">
        <v>580</v>
      </c>
      <c r="D389" s="13">
        <v>1200</v>
      </c>
      <c r="E389" s="13">
        <v>3000</v>
      </c>
      <c r="F389">
        <f t="shared" si="106"/>
        <v>9582411.6619969942</v>
      </c>
      <c r="G389" s="15">
        <v>9582162.2451919243</v>
      </c>
      <c r="H389" s="7">
        <f t="shared" si="107"/>
        <v>1</v>
      </c>
      <c r="I389">
        <v>9583087.8991609942</v>
      </c>
      <c r="J389" s="11">
        <f t="shared" si="108"/>
        <v>7.0570665074007067E-5</v>
      </c>
      <c r="K389" s="11">
        <f t="shared" si="109"/>
        <v>9.6601784167703013E-5</v>
      </c>
      <c r="L389" s="22">
        <v>1318.9</v>
      </c>
      <c r="M389" s="7">
        <f t="shared" si="103"/>
        <v>1</v>
      </c>
      <c r="N389">
        <v>9582567.1914849952</v>
      </c>
      <c r="O389" s="11">
        <f t="shared" si="104"/>
        <v>1.6230724945561991E-5</v>
      </c>
      <c r="P389" s="11">
        <f t="shared" si="105"/>
        <v>4.2260429609622161E-5</v>
      </c>
      <c r="Q389" s="22">
        <v>1896.2293059825899</v>
      </c>
      <c r="R389" s="7">
        <f t="shared" si="100"/>
        <v>1</v>
      </c>
      <c r="S389">
        <v>9582411.6619969942</v>
      </c>
      <c r="T389" s="11">
        <f t="shared" si="101"/>
        <v>0</v>
      </c>
      <c r="U389" s="11">
        <f t="shared" si="102"/>
        <v>2.6029282189940412E-5</v>
      </c>
      <c r="V389" s="22">
        <v>2253.587316513062</v>
      </c>
    </row>
    <row r="390" spans="1:22" x14ac:dyDescent="0.35">
      <c r="A390" s="14" t="s">
        <v>298</v>
      </c>
      <c r="B390" s="13" t="s">
        <v>574</v>
      </c>
      <c r="C390" s="13" t="s">
        <v>580</v>
      </c>
      <c r="D390" s="13">
        <v>1200</v>
      </c>
      <c r="E390" s="13">
        <v>3000</v>
      </c>
      <c r="F390">
        <f t="shared" si="106"/>
        <v>9669998.969293993</v>
      </c>
      <c r="G390" s="15">
        <v>9669531.0854940582</v>
      </c>
      <c r="H390" s="7">
        <f t="shared" si="107"/>
        <v>1</v>
      </c>
      <c r="I390">
        <v>9670454.4347399939</v>
      </c>
      <c r="J390" s="11">
        <f t="shared" si="108"/>
        <v>4.7100878443441272E-5</v>
      </c>
      <c r="K390" s="11">
        <f t="shared" si="109"/>
        <v>9.5490591815859552E-5</v>
      </c>
      <c r="L390" s="22">
        <v>1134.5</v>
      </c>
      <c r="M390" s="7">
        <f t="shared" si="103"/>
        <v>1</v>
      </c>
      <c r="N390">
        <v>9669998.969293993</v>
      </c>
      <c r="O390" s="11">
        <f t="shared" si="104"/>
        <v>0</v>
      </c>
      <c r="P390" s="11">
        <f t="shared" si="105"/>
        <v>4.8387434281757992E-5</v>
      </c>
      <c r="Q390" s="22">
        <v>1652.280910253525</v>
      </c>
      <c r="R390" s="7">
        <f t="shared" si="100"/>
        <v>1</v>
      </c>
      <c r="S390">
        <v>9669998.969293993</v>
      </c>
      <c r="T390" s="11">
        <f t="shared" si="101"/>
        <v>0</v>
      </c>
      <c r="U390" s="11">
        <f t="shared" si="102"/>
        <v>4.8387434281757992E-5</v>
      </c>
      <c r="V390" s="22">
        <v>2054.9195151329041</v>
      </c>
    </row>
    <row r="391" spans="1:22" x14ac:dyDescent="0.35">
      <c r="A391" s="14" t="s">
        <v>528</v>
      </c>
      <c r="B391" s="13" t="s">
        <v>574</v>
      </c>
      <c r="C391" s="13" t="s">
        <v>580</v>
      </c>
      <c r="D391" s="13">
        <v>1200</v>
      </c>
      <c r="E391" s="13">
        <v>3000</v>
      </c>
      <c r="F391">
        <f t="shared" si="106"/>
        <v>9120748.4259449933</v>
      </c>
      <c r="G391" s="15">
        <v>9120441.4272568133</v>
      </c>
      <c r="H391" s="7">
        <f t="shared" si="107"/>
        <v>1</v>
      </c>
      <c r="I391">
        <v>9120748.4261849932</v>
      </c>
      <c r="J391" s="11">
        <f t="shared" si="108"/>
        <v>2.6313626209725589E-11</v>
      </c>
      <c r="K391" s="11">
        <f t="shared" si="109"/>
        <v>3.3660533936711169E-5</v>
      </c>
      <c r="L391" s="22">
        <v>936.5</v>
      </c>
      <c r="M391" s="7">
        <f t="shared" si="103"/>
        <v>1</v>
      </c>
      <c r="N391">
        <v>9120748.4259449933</v>
      </c>
      <c r="O391" s="11">
        <f t="shared" si="104"/>
        <v>0</v>
      </c>
      <c r="P391" s="11">
        <f t="shared" si="105"/>
        <v>3.3660507622199232E-5</v>
      </c>
      <c r="Q391" s="22">
        <v>1588.6941115856171</v>
      </c>
      <c r="R391" s="7">
        <f t="shared" si="100"/>
        <v>1</v>
      </c>
      <c r="S391">
        <v>9120836.9741009939</v>
      </c>
      <c r="T391" s="11">
        <f t="shared" si="101"/>
        <v>9.7084309165669564E-6</v>
      </c>
      <c r="U391" s="11">
        <f t="shared" si="102"/>
        <v>4.3369265329479055E-5</v>
      </c>
      <c r="V391" s="22">
        <v>2119.8974704742432</v>
      </c>
    </row>
    <row r="392" spans="1:22" x14ac:dyDescent="0.35">
      <c r="A392" s="14" t="s">
        <v>467</v>
      </c>
      <c r="B392" s="13" t="s">
        <v>574</v>
      </c>
      <c r="C392" s="13" t="s">
        <v>580</v>
      </c>
      <c r="D392" s="13">
        <v>1200</v>
      </c>
      <c r="E392" s="13">
        <v>3000</v>
      </c>
      <c r="F392">
        <f t="shared" si="106"/>
        <v>9128784.6036399938</v>
      </c>
      <c r="G392" s="15">
        <v>9128409.0460061952</v>
      </c>
      <c r="H392" s="7">
        <f t="shared" si="107"/>
        <v>1</v>
      </c>
      <c r="I392">
        <v>9128784.6036399938</v>
      </c>
      <c r="J392" s="11">
        <f t="shared" si="108"/>
        <v>0</v>
      </c>
      <c r="K392" s="11">
        <f t="shared" si="109"/>
        <v>4.1141630694439692E-5</v>
      </c>
      <c r="L392" s="22">
        <v>898.3</v>
      </c>
      <c r="M392" s="7">
        <f t="shared" si="103"/>
        <v>1</v>
      </c>
      <c r="N392">
        <v>9128784.6045129951</v>
      </c>
      <c r="O392" s="11">
        <f t="shared" si="104"/>
        <v>9.5631711148032691E-11</v>
      </c>
      <c r="P392" s="11">
        <f t="shared" si="105"/>
        <v>4.1141726330085288E-5</v>
      </c>
      <c r="Q392" s="22">
        <v>1852.38606595993</v>
      </c>
      <c r="R392" s="7">
        <f t="shared" si="100"/>
        <v>1</v>
      </c>
      <c r="S392">
        <v>9128784.6036399938</v>
      </c>
      <c r="T392" s="11">
        <f t="shared" si="101"/>
        <v>0</v>
      </c>
      <c r="U392" s="11">
        <f t="shared" si="102"/>
        <v>4.1141630694439692E-5</v>
      </c>
      <c r="V392" s="22">
        <v>2167.6326248645778</v>
      </c>
    </row>
    <row r="393" spans="1:22" x14ac:dyDescent="0.35">
      <c r="A393" s="14" t="s">
        <v>444</v>
      </c>
      <c r="B393" s="13" t="s">
        <v>574</v>
      </c>
      <c r="C393" s="13" t="s">
        <v>580</v>
      </c>
      <c r="D393" s="13">
        <v>1200</v>
      </c>
      <c r="E393" s="13">
        <v>3000</v>
      </c>
      <c r="F393">
        <f t="shared" si="106"/>
        <v>8915462.9105489943</v>
      </c>
      <c r="G393" s="15">
        <v>8914890.8357353769</v>
      </c>
      <c r="H393" s="7">
        <f t="shared" si="107"/>
        <v>1</v>
      </c>
      <c r="I393">
        <v>8915467.2415269967</v>
      </c>
      <c r="J393" s="11">
        <f t="shared" si="108"/>
        <v>4.8578274015078757E-7</v>
      </c>
      <c r="K393" s="11">
        <f t="shared" si="109"/>
        <v>6.4656517083671683E-5</v>
      </c>
      <c r="L393" s="22">
        <v>634.29999999999995</v>
      </c>
      <c r="M393" s="7">
        <f t="shared" si="103"/>
        <v>1</v>
      </c>
      <c r="N393">
        <v>8915462.9105489943</v>
      </c>
      <c r="O393" s="11">
        <f t="shared" si="104"/>
        <v>0</v>
      </c>
      <c r="P393" s="11">
        <f t="shared" si="105"/>
        <v>6.4170703170500875E-5</v>
      </c>
      <c r="Q393" s="22">
        <v>1587.615385293961</v>
      </c>
      <c r="R393" s="7">
        <f t="shared" si="100"/>
        <v>1</v>
      </c>
      <c r="S393">
        <v>8915467.2415269949</v>
      </c>
      <c r="T393" s="11">
        <f t="shared" si="101"/>
        <v>4.8578273994186457E-7</v>
      </c>
      <c r="U393" s="11">
        <f t="shared" si="102"/>
        <v>6.4656517083462757E-5</v>
      </c>
      <c r="V393" s="22">
        <v>2154.7186186313629</v>
      </c>
    </row>
    <row r="394" spans="1:22" x14ac:dyDescent="0.35">
      <c r="A394" s="14" t="s">
        <v>295</v>
      </c>
      <c r="B394" s="13" t="s">
        <v>574</v>
      </c>
      <c r="C394" s="13" t="s">
        <v>580</v>
      </c>
      <c r="D394" s="13">
        <v>1200</v>
      </c>
      <c r="E394" s="13">
        <v>3000</v>
      </c>
      <c r="F394">
        <f t="shared" si="106"/>
        <v>9180830.4660309926</v>
      </c>
      <c r="G394" s="15">
        <v>9179947.7490537409</v>
      </c>
      <c r="H394" s="7">
        <f t="shared" si="107"/>
        <v>1</v>
      </c>
      <c r="I394">
        <v>9180830.4660309926</v>
      </c>
      <c r="J394" s="11">
        <f t="shared" si="108"/>
        <v>0</v>
      </c>
      <c r="K394" s="11">
        <f t="shared" si="109"/>
        <v>9.6157080778883861E-5</v>
      </c>
      <c r="L394" s="22">
        <v>728.1</v>
      </c>
      <c r="M394" s="7">
        <f t="shared" si="103"/>
        <v>1</v>
      </c>
      <c r="N394">
        <v>9180830.4660309963</v>
      </c>
      <c r="O394" s="11">
        <f t="shared" si="104"/>
        <v>4.0576833569092268E-16</v>
      </c>
      <c r="P394" s="11">
        <f t="shared" si="105"/>
        <v>9.6157080779289664E-5</v>
      </c>
      <c r="Q394" s="22">
        <v>1689.282285451889</v>
      </c>
      <c r="R394" s="7">
        <f t="shared" si="100"/>
        <v>1</v>
      </c>
      <c r="S394">
        <v>9180830.4660309944</v>
      </c>
      <c r="T394" s="11">
        <f t="shared" si="101"/>
        <v>2.0288416784546134E-16</v>
      </c>
      <c r="U394" s="11">
        <f t="shared" si="102"/>
        <v>9.6157080779086756E-5</v>
      </c>
      <c r="V394" s="22">
        <v>1956.9520063400271</v>
      </c>
    </row>
    <row r="395" spans="1:22" x14ac:dyDescent="0.35">
      <c r="A395" s="14" t="s">
        <v>541</v>
      </c>
      <c r="B395" s="13" t="s">
        <v>574</v>
      </c>
      <c r="C395" s="13" t="s">
        <v>580</v>
      </c>
      <c r="D395" s="13">
        <v>1200</v>
      </c>
      <c r="E395" s="13">
        <v>3000</v>
      </c>
      <c r="F395">
        <f t="shared" si="106"/>
        <v>9165935.9734909963</v>
      </c>
      <c r="G395" s="15">
        <v>9165918.4197476935</v>
      </c>
      <c r="H395" s="7">
        <f t="shared" si="107"/>
        <v>1</v>
      </c>
      <c r="I395">
        <v>9165935.9734909963</v>
      </c>
      <c r="J395" s="11">
        <f t="shared" si="108"/>
        <v>0</v>
      </c>
      <c r="K395" s="11">
        <f t="shared" si="109"/>
        <v>1.9151101394272838E-6</v>
      </c>
      <c r="L395" s="22">
        <v>1052.5999999999999</v>
      </c>
      <c r="M395" s="7">
        <f t="shared" si="103"/>
        <v>1</v>
      </c>
      <c r="N395">
        <v>9165935.9734909963</v>
      </c>
      <c r="O395" s="11">
        <f t="shared" si="104"/>
        <v>0</v>
      </c>
      <c r="P395" s="11">
        <f t="shared" si="105"/>
        <v>1.9151101394272838E-6</v>
      </c>
      <c r="Q395" s="22">
        <v>1997.0850601196289</v>
      </c>
      <c r="R395" s="7">
        <f t="shared" si="100"/>
        <v>1</v>
      </c>
      <c r="S395">
        <v>9165995.3653959967</v>
      </c>
      <c r="T395" s="11">
        <f t="shared" si="101"/>
        <v>6.4796334135653959E-6</v>
      </c>
      <c r="U395" s="11">
        <f t="shared" si="102"/>
        <v>8.3947559622043304E-6</v>
      </c>
      <c r="V395" s="22">
        <v>2121.6354219913478</v>
      </c>
    </row>
    <row r="396" spans="1:22" x14ac:dyDescent="0.35">
      <c r="A396" s="14" t="s">
        <v>370</v>
      </c>
      <c r="B396" s="13" t="s">
        <v>574</v>
      </c>
      <c r="C396" s="13" t="s">
        <v>580</v>
      </c>
      <c r="D396" s="13">
        <v>1200</v>
      </c>
      <c r="E396" s="13">
        <v>3000</v>
      </c>
      <c r="F396">
        <f t="shared" si="106"/>
        <v>9353189.8709299918</v>
      </c>
      <c r="G396" s="15">
        <v>9353103.7225924991</v>
      </c>
      <c r="H396" s="7">
        <f t="shared" si="107"/>
        <v>1</v>
      </c>
      <c r="I396">
        <v>9353926.8164879922</v>
      </c>
      <c r="J396" s="11">
        <f t="shared" si="108"/>
        <v>7.8790826249641944E-5</v>
      </c>
      <c r="K396" s="11">
        <f t="shared" si="109"/>
        <v>8.8002220429234113E-5</v>
      </c>
      <c r="L396" s="22">
        <v>509.5</v>
      </c>
      <c r="M396" s="7">
        <f t="shared" si="103"/>
        <v>1</v>
      </c>
      <c r="N396">
        <v>9353282.2344849929</v>
      </c>
      <c r="O396" s="11">
        <f t="shared" si="104"/>
        <v>9.8750860696374582E-6</v>
      </c>
      <c r="P396" s="11">
        <f t="shared" si="105"/>
        <v>1.9085845489194916E-5</v>
      </c>
      <c r="Q396" s="22">
        <v>1418.016938924789</v>
      </c>
      <c r="R396" s="7">
        <f t="shared" si="100"/>
        <v>1</v>
      </c>
      <c r="S396">
        <v>9353189.8709299918</v>
      </c>
      <c r="T396" s="11">
        <f t="shared" si="101"/>
        <v>0</v>
      </c>
      <c r="U396" s="11">
        <f t="shared" si="102"/>
        <v>9.2106684634136234E-6</v>
      </c>
      <c r="V396" s="22">
        <v>1715.6562540531161</v>
      </c>
    </row>
    <row r="397" spans="1:22" x14ac:dyDescent="0.35">
      <c r="A397" s="14" t="s">
        <v>540</v>
      </c>
      <c r="B397" s="13" t="s">
        <v>574</v>
      </c>
      <c r="C397" s="13" t="s">
        <v>580</v>
      </c>
      <c r="D397" s="13">
        <v>1200</v>
      </c>
      <c r="E397" s="13">
        <v>3000</v>
      </c>
      <c r="F397">
        <f t="shared" si="106"/>
        <v>9083542.3852029964</v>
      </c>
      <c r="G397" s="15">
        <v>9083486.8007663824</v>
      </c>
      <c r="H397" s="7">
        <f t="shared" si="107"/>
        <v>1</v>
      </c>
      <c r="I397">
        <v>9083542.3852029964</v>
      </c>
      <c r="J397" s="11">
        <f t="shared" si="108"/>
        <v>0</v>
      </c>
      <c r="K397" s="11">
        <f t="shared" si="109"/>
        <v>6.1192841287969564E-6</v>
      </c>
      <c r="L397" s="22">
        <v>1253.2</v>
      </c>
      <c r="M397" s="7">
        <f t="shared" si="103"/>
        <v>1</v>
      </c>
      <c r="N397">
        <v>9083542.3852029964</v>
      </c>
      <c r="O397" s="11">
        <f t="shared" si="104"/>
        <v>0</v>
      </c>
      <c r="P397" s="11">
        <f t="shared" si="105"/>
        <v>6.1192841287969564E-6</v>
      </c>
      <c r="Q397" s="22">
        <v>1764.3446929454799</v>
      </c>
      <c r="R397" s="7">
        <f t="shared" si="100"/>
        <v>1</v>
      </c>
      <c r="S397">
        <v>9083784.069024995</v>
      </c>
      <c r="T397" s="11">
        <f t="shared" si="101"/>
        <v>2.6606780895549869E-5</v>
      </c>
      <c r="U397" s="11">
        <f t="shared" si="102"/>
        <v>3.2726227838798878E-5</v>
      </c>
      <c r="V397" s="22">
        <v>1663.1550657749181</v>
      </c>
    </row>
    <row r="398" spans="1:22" x14ac:dyDescent="0.35">
      <c r="A398" s="14" t="s">
        <v>543</v>
      </c>
      <c r="B398" s="13" t="s">
        <v>574</v>
      </c>
      <c r="C398" s="13" t="s">
        <v>580</v>
      </c>
      <c r="D398" s="13">
        <v>1200</v>
      </c>
      <c r="E398" s="13">
        <v>3000</v>
      </c>
      <c r="F398">
        <f t="shared" si="106"/>
        <v>9054345.9689139947</v>
      </c>
      <c r="G398" s="15">
        <v>9054345.9652183168</v>
      </c>
      <c r="H398" s="7">
        <f t="shared" si="107"/>
        <v>1</v>
      </c>
      <c r="I398">
        <v>9054345.9705189932</v>
      </c>
      <c r="J398" s="11">
        <f t="shared" si="108"/>
        <v>1.7726277411579753E-10</v>
      </c>
      <c r="K398" s="11">
        <f t="shared" si="109"/>
        <v>5.8542897195396871E-10</v>
      </c>
      <c r="L398" s="22">
        <v>687.1</v>
      </c>
      <c r="M398" s="7">
        <f t="shared" si="103"/>
        <v>1</v>
      </c>
      <c r="N398">
        <v>9054346.0340389945</v>
      </c>
      <c r="O398" s="11">
        <f t="shared" si="104"/>
        <v>7.1926785165235279E-9</v>
      </c>
      <c r="P398" s="11">
        <f t="shared" si="105"/>
        <v>7.6008447172251543E-9</v>
      </c>
      <c r="Q398" s="22">
        <v>1278.873521566391</v>
      </c>
      <c r="R398" s="7">
        <f t="shared" si="100"/>
        <v>1</v>
      </c>
      <c r="S398">
        <v>9054345.9689139947</v>
      </c>
      <c r="T398" s="11">
        <f t="shared" si="101"/>
        <v>0</v>
      </c>
      <c r="U398" s="11">
        <f t="shared" si="102"/>
        <v>4.0816619776581849E-10</v>
      </c>
      <c r="V398" s="22">
        <v>1703.898615121841</v>
      </c>
    </row>
    <row r="399" spans="1:22" x14ac:dyDescent="0.35">
      <c r="A399" s="14" t="s">
        <v>447</v>
      </c>
      <c r="B399" s="13" t="s">
        <v>574</v>
      </c>
      <c r="C399" s="13" t="s">
        <v>580</v>
      </c>
      <c r="D399" s="13">
        <v>1200</v>
      </c>
      <c r="E399" s="13">
        <v>3000</v>
      </c>
      <c r="F399">
        <f t="shared" si="106"/>
        <v>8926831.2500789948</v>
      </c>
      <c r="G399" s="15">
        <v>8926315.5504678451</v>
      </c>
      <c r="H399" s="7">
        <f t="shared" si="107"/>
        <v>1</v>
      </c>
      <c r="I399">
        <v>8926879.0239479952</v>
      </c>
      <c r="J399" s="11">
        <f t="shared" si="108"/>
        <v>5.3517163775166591E-6</v>
      </c>
      <c r="K399" s="11">
        <f t="shared" si="109"/>
        <v>6.3124978829655066E-5</v>
      </c>
      <c r="L399" s="22">
        <v>706.1</v>
      </c>
      <c r="M399" s="7">
        <f t="shared" si="103"/>
        <v>1</v>
      </c>
      <c r="N399">
        <v>8927171.7802929953</v>
      </c>
      <c r="O399" s="11">
        <f t="shared" si="104"/>
        <v>3.8146818782698492E-5</v>
      </c>
      <c r="P399" s="11">
        <f t="shared" si="105"/>
        <v>9.5921975904755572E-5</v>
      </c>
      <c r="Q399" s="22">
        <v>1627.0538506507869</v>
      </c>
      <c r="R399" s="7">
        <f t="shared" si="100"/>
        <v>1</v>
      </c>
      <c r="S399">
        <v>8926831.2500789948</v>
      </c>
      <c r="T399" s="11">
        <f t="shared" si="101"/>
        <v>0</v>
      </c>
      <c r="U399" s="11">
        <f t="shared" si="102"/>
        <v>5.7772953267678229E-5</v>
      </c>
      <c r="V399" s="22">
        <v>1629.128598213196</v>
      </c>
    </row>
    <row r="400" spans="1:22" x14ac:dyDescent="0.35">
      <c r="A400" s="14" t="s">
        <v>378</v>
      </c>
      <c r="B400" s="13" t="s">
        <v>574</v>
      </c>
      <c r="C400" s="13" t="s">
        <v>580</v>
      </c>
      <c r="D400" s="13">
        <v>1200</v>
      </c>
      <c r="E400" s="13">
        <v>3000</v>
      </c>
      <c r="F400">
        <f t="shared" si="106"/>
        <v>9389800.3142909948</v>
      </c>
      <c r="G400" s="15">
        <v>9389137.4150428921</v>
      </c>
      <c r="H400" s="7">
        <f t="shared" si="107"/>
        <v>1</v>
      </c>
      <c r="I400">
        <v>9389924.5788959954</v>
      </c>
      <c r="J400" s="11">
        <f t="shared" si="108"/>
        <v>1.3233998683815258E-5</v>
      </c>
      <c r="K400" s="11">
        <f t="shared" si="109"/>
        <v>8.383771781230225E-5</v>
      </c>
      <c r="L400" s="22">
        <v>434.7</v>
      </c>
      <c r="M400" s="7">
        <f t="shared" si="103"/>
        <v>1</v>
      </c>
      <c r="N400">
        <v>9389800.3142909966</v>
      </c>
      <c r="O400" s="11">
        <f t="shared" si="104"/>
        <v>1.9836898409820995E-16</v>
      </c>
      <c r="P400" s="11">
        <f t="shared" si="105"/>
        <v>7.0602784771524633E-5</v>
      </c>
      <c r="Q400" s="22">
        <v>1378.263735294342</v>
      </c>
      <c r="R400" s="7">
        <f t="shared" si="100"/>
        <v>1</v>
      </c>
      <c r="S400">
        <v>9389800.3142909948</v>
      </c>
      <c r="T400" s="11">
        <f t="shared" si="101"/>
        <v>0</v>
      </c>
      <c r="U400" s="11">
        <f t="shared" si="102"/>
        <v>7.0602784771326251E-5</v>
      </c>
      <c r="V400" s="22">
        <v>1787.84162068367</v>
      </c>
    </row>
    <row r="401" spans="1:22" x14ac:dyDescent="0.35">
      <c r="A401" s="14" t="s">
        <v>535</v>
      </c>
      <c r="B401" s="13" t="s">
        <v>576</v>
      </c>
      <c r="C401" s="13" t="s">
        <v>580</v>
      </c>
      <c r="D401" s="13">
        <v>2000</v>
      </c>
      <c r="E401" s="13">
        <v>2000</v>
      </c>
      <c r="F401">
        <f t="shared" si="106"/>
        <v>18631331.591479011</v>
      </c>
      <c r="G401" s="15">
        <v>18318225.575196922</v>
      </c>
      <c r="H401" s="7">
        <f t="shared" si="107"/>
        <v>1</v>
      </c>
      <c r="I401">
        <v>18631331.591479011</v>
      </c>
      <c r="J401" s="11">
        <f t="shared" si="108"/>
        <v>0</v>
      </c>
      <c r="K401" s="11">
        <f t="shared" si="109"/>
        <v>1.7092595295149005E-2</v>
      </c>
      <c r="L401" s="22">
        <v>7209.3</v>
      </c>
      <c r="M401" s="7" t="s">
        <v>561</v>
      </c>
      <c r="N401" t="s">
        <v>561</v>
      </c>
      <c r="O401" t="s">
        <v>561</v>
      </c>
      <c r="P401" t="s">
        <v>561</v>
      </c>
      <c r="Q401" s="24" t="s">
        <v>561</v>
      </c>
      <c r="R401" s="7" t="s">
        <v>561</v>
      </c>
      <c r="S401" t="s">
        <v>561</v>
      </c>
      <c r="T401" t="s">
        <v>561</v>
      </c>
      <c r="U401" t="s">
        <v>561</v>
      </c>
      <c r="V401" s="24" t="s">
        <v>561</v>
      </c>
    </row>
    <row r="402" spans="1:22" x14ac:dyDescent="0.35">
      <c r="A402" s="14" t="s">
        <v>279</v>
      </c>
      <c r="B402" s="13" t="s">
        <v>576</v>
      </c>
      <c r="C402" s="13" t="s">
        <v>580</v>
      </c>
      <c r="D402" s="13">
        <v>2000</v>
      </c>
      <c r="E402" s="13">
        <v>2000</v>
      </c>
      <c r="F402">
        <f t="shared" si="106"/>
        <v>9330744.8247159943</v>
      </c>
      <c r="G402" s="15">
        <v>9329815.1630155444</v>
      </c>
      <c r="H402" s="7">
        <f t="shared" si="107"/>
        <v>1</v>
      </c>
      <c r="I402">
        <v>9330744.8247159943</v>
      </c>
      <c r="J402" s="11">
        <f t="shared" si="108"/>
        <v>0</v>
      </c>
      <c r="K402" s="11">
        <f t="shared" si="109"/>
        <v>9.9644171315973055E-5</v>
      </c>
      <c r="L402" s="22">
        <v>1353.2</v>
      </c>
      <c r="M402" s="7">
        <f t="shared" ref="M402:M426" si="110">IF(O402&lt;=0.0001,1,0)</f>
        <v>1</v>
      </c>
      <c r="N402">
        <v>9330925.2975299936</v>
      </c>
      <c r="O402" s="11">
        <f t="shared" ref="O402:O426" si="111">(N402-$F402)/$F402</f>
        <v>1.9341737169923462E-5</v>
      </c>
      <c r="P402" s="11">
        <f t="shared" ref="P402:P426" si="112">(N402-$G402)/$G402</f>
        <v>1.1898783577726862E-4</v>
      </c>
      <c r="Q402" s="22">
        <v>3264.7601451873779</v>
      </c>
      <c r="R402" s="7">
        <f t="shared" ref="R402:R426" si="113">IF(T402&lt;=0.0001,1,0)</f>
        <v>1</v>
      </c>
      <c r="S402">
        <v>9331402.1319869943</v>
      </c>
      <c r="T402" s="11">
        <f t="shared" ref="T402:T426" si="114">(S402-$F402)/$F402</f>
        <v>7.0445316354474918E-5</v>
      </c>
      <c r="U402" s="11">
        <f t="shared" ref="U402:U426" si="115">(S402-$G402)/$G402</f>
        <v>1.700965071356192E-4</v>
      </c>
      <c r="V402" s="22">
        <v>3205.0835363864899</v>
      </c>
    </row>
    <row r="403" spans="1:22" x14ac:dyDescent="0.35">
      <c r="A403" s="14" t="s">
        <v>300</v>
      </c>
      <c r="B403" s="13" t="s">
        <v>576</v>
      </c>
      <c r="C403" s="13" t="s">
        <v>580</v>
      </c>
      <c r="D403" s="13">
        <v>2000</v>
      </c>
      <c r="E403" s="13">
        <v>2000</v>
      </c>
      <c r="F403">
        <f t="shared" si="106"/>
        <v>9817190.873689007</v>
      </c>
      <c r="G403" s="15">
        <v>9816258.2765986137</v>
      </c>
      <c r="H403" s="7">
        <f t="shared" si="107"/>
        <v>1</v>
      </c>
      <c r="I403">
        <v>9817190.873689007</v>
      </c>
      <c r="J403" s="11">
        <f t="shared" si="108"/>
        <v>0</v>
      </c>
      <c r="K403" s="11">
        <f t="shared" si="109"/>
        <v>9.5005353782974707E-5</v>
      </c>
      <c r="L403" s="22">
        <v>2136.4</v>
      </c>
      <c r="M403" s="7">
        <f t="shared" si="110"/>
        <v>1</v>
      </c>
      <c r="N403">
        <v>9817315.089337023</v>
      </c>
      <c r="O403" s="11">
        <f t="shared" si="111"/>
        <v>1.265287082773043E-5</v>
      </c>
      <c r="P403" s="11">
        <f t="shared" si="112"/>
        <v>1.076594267011745E-4</v>
      </c>
      <c r="Q403" s="22">
        <v>3209.6396160125728</v>
      </c>
      <c r="R403" s="7">
        <f t="shared" si="113"/>
        <v>1</v>
      </c>
      <c r="S403">
        <v>9817239.2249169685</v>
      </c>
      <c r="T403" s="11">
        <f t="shared" si="114"/>
        <v>4.9251592011994436E-6</v>
      </c>
      <c r="U403" s="11">
        <f t="shared" si="115"/>
        <v>9.9930980900666492E-5</v>
      </c>
      <c r="V403" s="22">
        <v>3550.503089427948</v>
      </c>
    </row>
    <row r="404" spans="1:22" x14ac:dyDescent="0.35">
      <c r="A404" s="14" t="s">
        <v>371</v>
      </c>
      <c r="B404" s="13" t="s">
        <v>576</v>
      </c>
      <c r="C404" s="13" t="s">
        <v>580</v>
      </c>
      <c r="D404" s="13">
        <v>2000</v>
      </c>
      <c r="E404" s="13">
        <v>2000</v>
      </c>
      <c r="F404">
        <f t="shared" si="106"/>
        <v>9236909.4951090012</v>
      </c>
      <c r="G404" s="15">
        <v>9236366.960956648</v>
      </c>
      <c r="H404" s="7">
        <f t="shared" si="107"/>
        <v>1</v>
      </c>
      <c r="I404">
        <v>9237175.3389779925</v>
      </c>
      <c r="J404" s="11">
        <f t="shared" si="108"/>
        <v>2.8780607748958241E-5</v>
      </c>
      <c r="K404" s="11">
        <f t="shared" si="109"/>
        <v>8.7521210965487177E-5</v>
      </c>
      <c r="L404" s="22">
        <v>1645.2</v>
      </c>
      <c r="M404" s="7">
        <f t="shared" si="110"/>
        <v>1</v>
      </c>
      <c r="N404">
        <v>9237297.9188510031</v>
      </c>
      <c r="O404" s="11">
        <f t="shared" si="111"/>
        <v>4.2051266411947517E-5</v>
      </c>
      <c r="P404" s="11">
        <f t="shared" si="112"/>
        <v>1.0079264913253681E-4</v>
      </c>
      <c r="Q404" s="22">
        <v>2842.061351776123</v>
      </c>
      <c r="R404" s="7">
        <f t="shared" si="113"/>
        <v>1</v>
      </c>
      <c r="S404">
        <v>9236909.4951090012</v>
      </c>
      <c r="T404" s="11">
        <f t="shared" si="114"/>
        <v>0</v>
      </c>
      <c r="U404" s="11">
        <f t="shared" si="115"/>
        <v>5.8738912674923646E-5</v>
      </c>
      <c r="V404" s="22">
        <v>3005.4992680549622</v>
      </c>
    </row>
    <row r="405" spans="1:22" x14ac:dyDescent="0.35">
      <c r="A405" s="14" t="s">
        <v>466</v>
      </c>
      <c r="B405" s="13" t="s">
        <v>576</v>
      </c>
      <c r="C405" s="13" t="s">
        <v>580</v>
      </c>
      <c r="D405" s="13">
        <v>2000</v>
      </c>
      <c r="E405" s="13">
        <v>2000</v>
      </c>
      <c r="F405">
        <f t="shared" si="106"/>
        <v>9458076.4661139958</v>
      </c>
      <c r="G405" s="15">
        <v>9457945.7655120008</v>
      </c>
      <c r="H405" s="7">
        <f t="shared" si="107"/>
        <v>1</v>
      </c>
      <c r="I405">
        <v>9458371.3480429966</v>
      </c>
      <c r="J405" s="11">
        <f t="shared" si="108"/>
        <v>3.1177790754529249E-5</v>
      </c>
      <c r="K405" s="11">
        <f t="shared" si="109"/>
        <v>4.4997353711595552E-5</v>
      </c>
      <c r="L405" s="22">
        <v>1325.4</v>
      </c>
      <c r="M405" s="7">
        <f t="shared" si="110"/>
        <v>1</v>
      </c>
      <c r="N405">
        <v>9458339.3049479984</v>
      </c>
      <c r="O405" s="11">
        <f t="shared" si="111"/>
        <v>2.7789882535238754E-5</v>
      </c>
      <c r="P405" s="11">
        <f t="shared" si="112"/>
        <v>4.1609398674353812E-5</v>
      </c>
      <c r="Q405" s="22">
        <v>4570.9415874481201</v>
      </c>
      <c r="R405" s="7">
        <f t="shared" si="113"/>
        <v>1</v>
      </c>
      <c r="S405">
        <v>9458076.4661139958</v>
      </c>
      <c r="T405" s="11">
        <f t="shared" si="114"/>
        <v>0</v>
      </c>
      <c r="U405" s="11">
        <f t="shared" si="115"/>
        <v>1.3819132107057066E-5</v>
      </c>
      <c r="V405" s="22">
        <v>2979.1183972358699</v>
      </c>
    </row>
    <row r="406" spans="1:22" x14ac:dyDescent="0.35">
      <c r="A406" s="14" t="s">
        <v>285</v>
      </c>
      <c r="B406" s="13" t="s">
        <v>576</v>
      </c>
      <c r="C406" s="13" t="s">
        <v>580</v>
      </c>
      <c r="D406" s="13">
        <v>2000</v>
      </c>
      <c r="E406" s="13">
        <v>2000</v>
      </c>
      <c r="F406">
        <f t="shared" si="106"/>
        <v>9342536.944074003</v>
      </c>
      <c r="G406" s="15">
        <v>9341620.2279055528</v>
      </c>
      <c r="H406" s="7">
        <f t="shared" si="107"/>
        <v>1</v>
      </c>
      <c r="I406">
        <v>9342536.944074003</v>
      </c>
      <c r="J406" s="11">
        <f t="shared" si="108"/>
        <v>0</v>
      </c>
      <c r="K406" s="11">
        <f t="shared" si="109"/>
        <v>9.8132459475472049E-5</v>
      </c>
      <c r="L406" s="22">
        <v>1374.3</v>
      </c>
      <c r="M406" s="7">
        <f t="shared" si="110"/>
        <v>1</v>
      </c>
      <c r="N406">
        <v>9342608.0026529953</v>
      </c>
      <c r="O406" s="11">
        <f t="shared" si="111"/>
        <v>7.6059189722910474E-6</v>
      </c>
      <c r="P406" s="11">
        <f t="shared" si="112"/>
        <v>1.0573912483529841E-4</v>
      </c>
      <c r="Q406" s="22">
        <v>3455.71306848526</v>
      </c>
      <c r="R406" s="7">
        <f t="shared" si="113"/>
        <v>1</v>
      </c>
      <c r="S406">
        <v>9342608.0026530027</v>
      </c>
      <c r="T406" s="11">
        <f t="shared" si="114"/>
        <v>7.6059189730885374E-6</v>
      </c>
      <c r="U406" s="11">
        <f t="shared" si="115"/>
        <v>1.0573912483609598E-4</v>
      </c>
      <c r="V406" s="22">
        <v>3210.187314510345</v>
      </c>
    </row>
    <row r="407" spans="1:22" x14ac:dyDescent="0.35">
      <c r="A407" s="14" t="s">
        <v>288</v>
      </c>
      <c r="B407" s="13" t="s">
        <v>576</v>
      </c>
      <c r="C407" s="13" t="s">
        <v>580</v>
      </c>
      <c r="D407" s="13">
        <v>2000</v>
      </c>
      <c r="E407" s="13">
        <v>2000</v>
      </c>
      <c r="F407">
        <f t="shared" si="106"/>
        <v>7305381.8825949999</v>
      </c>
      <c r="G407" s="15">
        <v>7304674.8206085088</v>
      </c>
      <c r="H407" s="7">
        <f t="shared" si="107"/>
        <v>1</v>
      </c>
      <c r="I407">
        <v>7305381.8825949999</v>
      </c>
      <c r="J407" s="11">
        <f t="shared" si="108"/>
        <v>0</v>
      </c>
      <c r="K407" s="11">
        <f t="shared" si="109"/>
        <v>9.679581964364336E-5</v>
      </c>
      <c r="L407" s="22">
        <v>2124.6999999999998</v>
      </c>
      <c r="M407" s="7">
        <f t="shared" si="110"/>
        <v>1</v>
      </c>
      <c r="N407">
        <v>7305423.9706289992</v>
      </c>
      <c r="O407" s="11">
        <f t="shared" si="111"/>
        <v>5.7612366712260067E-6</v>
      </c>
      <c r="P407" s="11">
        <f t="shared" si="112"/>
        <v>1.0255761397849512E-4</v>
      </c>
      <c r="Q407" s="22">
        <v>1945.323607683182</v>
      </c>
      <c r="R407" s="7">
        <f t="shared" si="113"/>
        <v>1</v>
      </c>
      <c r="S407">
        <v>7306042.0549819991</v>
      </c>
      <c r="T407" s="11">
        <f t="shared" si="114"/>
        <v>9.0367950315108951E-5</v>
      </c>
      <c r="U407" s="11">
        <f t="shared" si="115"/>
        <v>1.8717251719857256E-4</v>
      </c>
      <c r="V407" s="22">
        <v>2957.262574672699</v>
      </c>
    </row>
    <row r="408" spans="1:22" x14ac:dyDescent="0.35">
      <c r="A408" s="14" t="s">
        <v>375</v>
      </c>
      <c r="B408" s="13" t="s">
        <v>576</v>
      </c>
      <c r="C408" s="13" t="s">
        <v>580</v>
      </c>
      <c r="D408" s="13">
        <v>2000</v>
      </c>
      <c r="E408" s="13">
        <v>2000</v>
      </c>
      <c r="F408">
        <f t="shared" si="106"/>
        <v>7439253.6682389984</v>
      </c>
      <c r="G408" s="15">
        <v>7438982.646437712</v>
      </c>
      <c r="H408" s="7">
        <f t="shared" si="107"/>
        <v>1</v>
      </c>
      <c r="I408">
        <v>7439622.4986079987</v>
      </c>
      <c r="J408" s="11">
        <f t="shared" si="108"/>
        <v>4.9578947761251931E-5</v>
      </c>
      <c r="K408" s="11">
        <f t="shared" si="109"/>
        <v>8.6013397355229034E-5</v>
      </c>
      <c r="L408" s="22">
        <v>1785.6</v>
      </c>
      <c r="M408" s="7">
        <f t="shared" si="110"/>
        <v>1</v>
      </c>
      <c r="N408">
        <v>7439253.6682389984</v>
      </c>
      <c r="O408" s="11">
        <f t="shared" si="111"/>
        <v>0</v>
      </c>
      <c r="P408" s="11">
        <f t="shared" si="112"/>
        <v>3.6432643301858024E-5</v>
      </c>
      <c r="Q408" s="22">
        <v>2012.160046100616</v>
      </c>
      <c r="R408" s="7">
        <f t="shared" si="113"/>
        <v>1</v>
      </c>
      <c r="S408">
        <v>7439781.1540099978</v>
      </c>
      <c r="T408" s="11">
        <f t="shared" si="114"/>
        <v>7.0905737930606025E-5</v>
      </c>
      <c r="U408" s="11">
        <f t="shared" si="115"/>
        <v>1.0734096451592214E-4</v>
      </c>
      <c r="V408" s="22">
        <v>2582.66891503334</v>
      </c>
    </row>
    <row r="409" spans="1:22" x14ac:dyDescent="0.35">
      <c r="A409" s="14" t="s">
        <v>374</v>
      </c>
      <c r="B409" s="13" t="s">
        <v>576</v>
      </c>
      <c r="C409" s="13" t="s">
        <v>580</v>
      </c>
      <c r="D409" s="13">
        <v>2000</v>
      </c>
      <c r="E409" s="13">
        <v>2000</v>
      </c>
      <c r="F409">
        <f t="shared" si="106"/>
        <v>7285163.8860209957</v>
      </c>
      <c r="G409" s="15">
        <v>7284532.81433779</v>
      </c>
      <c r="H409" s="7">
        <f t="shared" si="107"/>
        <v>1</v>
      </c>
      <c r="I409">
        <v>7285163.8860209957</v>
      </c>
      <c r="J409" s="11">
        <f t="shared" si="108"/>
        <v>0</v>
      </c>
      <c r="K409" s="11">
        <f t="shared" si="109"/>
        <v>8.6631730447223274E-5</v>
      </c>
      <c r="L409" s="22">
        <v>1198.9000000000001</v>
      </c>
      <c r="M409" s="7">
        <f t="shared" si="110"/>
        <v>1</v>
      </c>
      <c r="N409">
        <v>7285163.8860209957</v>
      </c>
      <c r="O409" s="11">
        <f t="shared" si="111"/>
        <v>0</v>
      </c>
      <c r="P409" s="11">
        <f t="shared" si="112"/>
        <v>8.6631730447223274E-5</v>
      </c>
      <c r="Q409" s="22">
        <v>1829.3147418498991</v>
      </c>
      <c r="R409" s="7">
        <f t="shared" si="113"/>
        <v>1</v>
      </c>
      <c r="S409">
        <v>7285760.6812569946</v>
      </c>
      <c r="T409" s="11">
        <f t="shared" si="114"/>
        <v>8.1919260202790805E-5</v>
      </c>
      <c r="U409" s="11">
        <f t="shared" si="115"/>
        <v>1.685580874572824E-4</v>
      </c>
      <c r="V409" s="22">
        <v>3408.1063356399541</v>
      </c>
    </row>
    <row r="410" spans="1:22" x14ac:dyDescent="0.35">
      <c r="A410" s="14" t="s">
        <v>215</v>
      </c>
      <c r="B410" s="13" t="s">
        <v>576</v>
      </c>
      <c r="C410" s="13" t="s">
        <v>580</v>
      </c>
      <c r="D410" s="13">
        <v>2000</v>
      </c>
      <c r="E410" s="13">
        <v>2000</v>
      </c>
      <c r="F410">
        <f t="shared" si="106"/>
        <v>7200902.1063529961</v>
      </c>
      <c r="G410" s="15">
        <v>7200325.3167003999</v>
      </c>
      <c r="H410" s="7">
        <f t="shared" si="107"/>
        <v>1</v>
      </c>
      <c r="I410">
        <v>7201045.2434719987</v>
      </c>
      <c r="J410" s="11">
        <f t="shared" si="108"/>
        <v>1.9877664893730124E-5</v>
      </c>
      <c r="K410" s="11">
        <f t="shared" si="109"/>
        <v>9.9985311764882816E-5</v>
      </c>
      <c r="L410" s="22">
        <v>1463.2</v>
      </c>
      <c r="M410" s="7">
        <f t="shared" si="110"/>
        <v>1</v>
      </c>
      <c r="N410">
        <v>7201133.2419890026</v>
      </c>
      <c r="O410" s="11">
        <f t="shared" si="111"/>
        <v>3.2098150008533308E-5</v>
      </c>
      <c r="P410" s="11">
        <f t="shared" si="112"/>
        <v>1.1220677581453324E-4</v>
      </c>
      <c r="Q410" s="22">
        <v>2129.713399887085</v>
      </c>
      <c r="R410" s="7">
        <f t="shared" si="113"/>
        <v>1</v>
      </c>
      <c r="S410">
        <v>7200902.1063529961</v>
      </c>
      <c r="T410" s="11">
        <f t="shared" si="114"/>
        <v>0</v>
      </c>
      <c r="U410" s="11">
        <f t="shared" si="115"/>
        <v>8.0106054549844386E-5</v>
      </c>
      <c r="V410" s="22">
        <v>4658.3588511943817</v>
      </c>
    </row>
    <row r="411" spans="1:22" x14ac:dyDescent="0.35">
      <c r="A411" s="14" t="s">
        <v>464</v>
      </c>
      <c r="B411" s="13" t="s">
        <v>576</v>
      </c>
      <c r="C411" s="13" t="s">
        <v>580</v>
      </c>
      <c r="D411" s="13">
        <v>2000</v>
      </c>
      <c r="E411" s="13">
        <v>2000</v>
      </c>
      <c r="F411">
        <f t="shared" si="106"/>
        <v>7233755.787151997</v>
      </c>
      <c r="G411" s="15">
        <v>7233557.9220654191</v>
      </c>
      <c r="H411" s="7">
        <f t="shared" si="107"/>
        <v>1</v>
      </c>
      <c r="I411">
        <v>7233907.9850679981</v>
      </c>
      <c r="J411" s="11">
        <f t="shared" si="108"/>
        <v>2.1039957731418429E-5</v>
      </c>
      <c r="K411" s="11">
        <f t="shared" si="109"/>
        <v>4.8394304206934401E-5</v>
      </c>
      <c r="L411" s="22">
        <v>1232.7</v>
      </c>
      <c r="M411" s="7">
        <f t="shared" si="110"/>
        <v>1</v>
      </c>
      <c r="N411">
        <v>7233755.787151997</v>
      </c>
      <c r="O411" s="11">
        <f t="shared" si="111"/>
        <v>0</v>
      </c>
      <c r="P411" s="11">
        <f t="shared" si="112"/>
        <v>2.7353770953331317E-5</v>
      </c>
      <c r="Q411" s="22">
        <v>2888.9273056983948</v>
      </c>
      <c r="R411" s="7">
        <f t="shared" si="113"/>
        <v>1</v>
      </c>
      <c r="S411">
        <v>7234222.6386599988</v>
      </c>
      <c r="T411" s="11">
        <f t="shared" si="114"/>
        <v>6.4537913877460478E-5</v>
      </c>
      <c r="U411" s="11">
        <f t="shared" si="115"/>
        <v>9.1893450186105797E-5</v>
      </c>
      <c r="V411" s="22">
        <v>2850.4748802185059</v>
      </c>
    </row>
    <row r="412" spans="1:22" x14ac:dyDescent="0.35">
      <c r="A412" s="14" t="s">
        <v>384</v>
      </c>
      <c r="B412" s="13" t="s">
        <v>576</v>
      </c>
      <c r="C412" s="13" t="s">
        <v>580</v>
      </c>
      <c r="D412" s="13">
        <v>2000</v>
      </c>
      <c r="E412" s="13">
        <v>2000</v>
      </c>
      <c r="F412">
        <f t="shared" si="106"/>
        <v>5904310.8227509968</v>
      </c>
      <c r="G412" s="15">
        <v>5903997.383592613</v>
      </c>
      <c r="H412" s="7">
        <f t="shared" si="107"/>
        <v>1</v>
      </c>
      <c r="I412">
        <v>5904440.1923699984</v>
      </c>
      <c r="J412" s="11">
        <f t="shared" si="108"/>
        <v>2.1911044808673743E-5</v>
      </c>
      <c r="K412" s="11">
        <f t="shared" si="109"/>
        <v>7.5001519922073516E-5</v>
      </c>
      <c r="L412" s="22">
        <v>1109.4000000000001</v>
      </c>
      <c r="M412" s="7">
        <f t="shared" si="110"/>
        <v>1</v>
      </c>
      <c r="N412">
        <v>5904631.1866019974</v>
      </c>
      <c r="O412" s="11">
        <f t="shared" si="111"/>
        <v>5.4259313342058717E-5</v>
      </c>
      <c r="P412" s="11">
        <f t="shared" si="112"/>
        <v>1.0735150580277516E-4</v>
      </c>
      <c r="Q412" s="22">
        <v>1962.0277078151701</v>
      </c>
      <c r="R412" s="7">
        <f t="shared" si="113"/>
        <v>1</v>
      </c>
      <c r="S412">
        <v>5904310.8227509968</v>
      </c>
      <c r="T412" s="11">
        <f t="shared" si="114"/>
        <v>0</v>
      </c>
      <c r="U412" s="11">
        <f t="shared" si="115"/>
        <v>5.3089311871108507E-5</v>
      </c>
      <c r="V412" s="22">
        <v>2305.5532341003418</v>
      </c>
    </row>
    <row r="413" spans="1:22" x14ac:dyDescent="0.35">
      <c r="A413" s="14" t="s">
        <v>552</v>
      </c>
      <c r="B413" s="13" t="s">
        <v>576</v>
      </c>
      <c r="C413" s="13" t="s">
        <v>580</v>
      </c>
      <c r="D413" s="13">
        <v>2000</v>
      </c>
      <c r="E413" s="13">
        <v>2000</v>
      </c>
      <c r="F413">
        <f t="shared" si="106"/>
        <v>5649370.1428179983</v>
      </c>
      <c r="G413" s="15">
        <v>5649370.1428179983</v>
      </c>
      <c r="H413" s="7">
        <f t="shared" si="107"/>
        <v>1</v>
      </c>
      <c r="I413">
        <v>5649370.1428179983</v>
      </c>
      <c r="J413" s="11">
        <f t="shared" si="108"/>
        <v>0</v>
      </c>
      <c r="K413" s="11">
        <f t="shared" si="109"/>
        <v>0</v>
      </c>
      <c r="L413" s="22">
        <v>1339</v>
      </c>
      <c r="M413" s="7">
        <f t="shared" si="110"/>
        <v>1</v>
      </c>
      <c r="N413">
        <v>5649596.7607199978</v>
      </c>
      <c r="O413" s="11">
        <f t="shared" si="111"/>
        <v>4.0113835041876487E-5</v>
      </c>
      <c r="P413" s="11">
        <f t="shared" si="112"/>
        <v>4.0113835041876487E-5</v>
      </c>
      <c r="Q413" s="22">
        <v>1739.0820894241331</v>
      </c>
      <c r="R413" s="7">
        <f t="shared" si="113"/>
        <v>1</v>
      </c>
      <c r="S413">
        <v>5649376.1694429982</v>
      </c>
      <c r="T413" s="11">
        <f t="shared" si="114"/>
        <v>1.0667782155506307E-6</v>
      </c>
      <c r="U413" s="11">
        <f t="shared" si="115"/>
        <v>1.0667782155506307E-6</v>
      </c>
      <c r="V413" s="22">
        <v>2425.490004062653</v>
      </c>
    </row>
    <row r="414" spans="1:22" x14ac:dyDescent="0.35">
      <c r="A414" s="14" t="s">
        <v>533</v>
      </c>
      <c r="B414" s="13" t="s">
        <v>576</v>
      </c>
      <c r="C414" s="13" t="s">
        <v>580</v>
      </c>
      <c r="D414" s="13">
        <v>2000</v>
      </c>
      <c r="E414" s="13">
        <v>2000</v>
      </c>
      <c r="F414">
        <f t="shared" si="106"/>
        <v>5592075.5044949967</v>
      </c>
      <c r="G414" s="15">
        <v>5591975.9682263387</v>
      </c>
      <c r="H414" s="7">
        <f t="shared" si="107"/>
        <v>1</v>
      </c>
      <c r="I414">
        <v>5592075.5046179984</v>
      </c>
      <c r="J414" s="11">
        <f t="shared" si="108"/>
        <v>2.1995703558677785E-11</v>
      </c>
      <c r="K414" s="11">
        <f t="shared" si="109"/>
        <v>1.7799860411633831E-5</v>
      </c>
      <c r="L414" s="22">
        <v>1390.9</v>
      </c>
      <c r="M414" s="7">
        <f t="shared" si="110"/>
        <v>1</v>
      </c>
      <c r="N414">
        <v>5592075.5044949967</v>
      </c>
      <c r="O414" s="11">
        <f t="shared" si="111"/>
        <v>0</v>
      </c>
      <c r="P414" s="11">
        <f t="shared" si="112"/>
        <v>1.7799838415538754E-5</v>
      </c>
      <c r="Q414" s="22">
        <v>2083.071284532547</v>
      </c>
      <c r="R414" s="7">
        <f t="shared" si="113"/>
        <v>1</v>
      </c>
      <c r="S414">
        <v>5592075.5044949986</v>
      </c>
      <c r="T414" s="11">
        <f t="shared" si="114"/>
        <v>3.3308655216363477E-16</v>
      </c>
      <c r="U414" s="11">
        <f t="shared" si="115"/>
        <v>1.7799838415871845E-5</v>
      </c>
      <c r="V414" s="22">
        <v>2535.4829173088069</v>
      </c>
    </row>
    <row r="415" spans="1:22" x14ac:dyDescent="0.35">
      <c r="A415" s="14" t="s">
        <v>453</v>
      </c>
      <c r="B415" s="13" t="s">
        <v>576</v>
      </c>
      <c r="C415" s="13" t="s">
        <v>580</v>
      </c>
      <c r="D415" s="13">
        <v>2000</v>
      </c>
      <c r="E415" s="13">
        <v>2000</v>
      </c>
      <c r="F415">
        <f t="shared" si="106"/>
        <v>5681254.5022939984</v>
      </c>
      <c r="G415" s="15">
        <v>5680928.122426278</v>
      </c>
      <c r="H415" s="7">
        <f t="shared" si="107"/>
        <v>1</v>
      </c>
      <c r="I415">
        <v>5681254.5022939984</v>
      </c>
      <c r="J415" s="11">
        <f t="shared" si="108"/>
        <v>0</v>
      </c>
      <c r="K415" s="11">
        <f t="shared" si="109"/>
        <v>5.7451856578150738E-5</v>
      </c>
      <c r="L415" s="22">
        <v>1890</v>
      </c>
      <c r="M415" s="7">
        <f t="shared" si="110"/>
        <v>1</v>
      </c>
      <c r="N415">
        <v>5681343.7303179977</v>
      </c>
      <c r="O415" s="11">
        <f t="shared" si="111"/>
        <v>1.570569034767617E-5</v>
      </c>
      <c r="P415" s="11">
        <f t="shared" si="112"/>
        <v>7.3158449246896228E-5</v>
      </c>
      <c r="Q415" s="22">
        <v>2009.997557878494</v>
      </c>
      <c r="R415" s="7">
        <f t="shared" si="113"/>
        <v>1</v>
      </c>
      <c r="S415">
        <v>5681540.137233993</v>
      </c>
      <c r="T415" s="11">
        <f t="shared" si="114"/>
        <v>5.0276737273313185E-5</v>
      </c>
      <c r="U415" s="11">
        <f t="shared" si="115"/>
        <v>1.0773148234336297E-4</v>
      </c>
      <c r="V415" s="22">
        <v>2198.6705839633942</v>
      </c>
    </row>
    <row r="416" spans="1:22" x14ac:dyDescent="0.35">
      <c r="A416" s="14" t="s">
        <v>531</v>
      </c>
      <c r="B416" s="13" t="s">
        <v>576</v>
      </c>
      <c r="C416" s="13" t="s">
        <v>580</v>
      </c>
      <c r="D416" s="13">
        <v>2000</v>
      </c>
      <c r="E416" s="13">
        <v>2000</v>
      </c>
      <c r="F416">
        <f t="shared" si="106"/>
        <v>5628256.2987049967</v>
      </c>
      <c r="G416" s="15">
        <v>5628170.2736357925</v>
      </c>
      <c r="H416" s="7">
        <f t="shared" si="107"/>
        <v>1</v>
      </c>
      <c r="I416">
        <v>5628277.6858199984</v>
      </c>
      <c r="J416" s="11">
        <f t="shared" si="108"/>
        <v>3.7999539940282073E-6</v>
      </c>
      <c r="K416" s="11">
        <f t="shared" si="109"/>
        <v>1.9084743172926321E-5</v>
      </c>
      <c r="L416" s="22">
        <v>1019</v>
      </c>
      <c r="M416" s="7">
        <f t="shared" si="110"/>
        <v>1</v>
      </c>
      <c r="N416">
        <v>5628256.2987049967</v>
      </c>
      <c r="O416" s="11">
        <f t="shared" si="111"/>
        <v>0</v>
      </c>
      <c r="P416" s="11">
        <f t="shared" si="112"/>
        <v>1.528473109762313E-5</v>
      </c>
      <c r="Q416" s="22">
        <v>1919.0745544433589</v>
      </c>
      <c r="R416" s="7">
        <f t="shared" si="113"/>
        <v>1</v>
      </c>
      <c r="S416">
        <v>5628506.9385009967</v>
      </c>
      <c r="T416" s="11">
        <f t="shared" si="114"/>
        <v>4.453240625478332E-5</v>
      </c>
      <c r="U416" s="11">
        <f t="shared" si="115"/>
        <v>5.9817818018261188E-5</v>
      </c>
      <c r="V416" s="22">
        <v>2495.5013289451599</v>
      </c>
    </row>
    <row r="417" spans="1:22" x14ac:dyDescent="0.35">
      <c r="A417" s="14" t="s">
        <v>451</v>
      </c>
      <c r="B417" s="13" t="s">
        <v>576</v>
      </c>
      <c r="C417" s="13" t="s">
        <v>580</v>
      </c>
      <c r="D417" s="13">
        <v>2000</v>
      </c>
      <c r="E417" s="13">
        <v>2000</v>
      </c>
      <c r="F417">
        <f t="shared" si="106"/>
        <v>5168870.9032769967</v>
      </c>
      <c r="G417" s="15">
        <v>5168757.8424873818</v>
      </c>
      <c r="H417" s="7">
        <f t="shared" si="107"/>
        <v>1</v>
      </c>
      <c r="I417">
        <v>5169057.0321679972</v>
      </c>
      <c r="J417" s="11">
        <f t="shared" si="108"/>
        <v>3.6009584004607444E-5</v>
      </c>
      <c r="K417" s="11">
        <f t="shared" si="109"/>
        <v>5.7884251832440226E-5</v>
      </c>
      <c r="L417" s="22">
        <v>1158.2</v>
      </c>
      <c r="M417" s="7">
        <f t="shared" si="110"/>
        <v>1</v>
      </c>
      <c r="N417">
        <v>5169086.3679269981</v>
      </c>
      <c r="O417" s="11">
        <f t="shared" si="111"/>
        <v>4.1685051538968614E-5</v>
      </c>
      <c r="P417" s="11">
        <f t="shared" si="112"/>
        <v>6.3559843511298088E-5</v>
      </c>
      <c r="Q417" s="22">
        <v>1734.1861751079559</v>
      </c>
      <c r="R417" s="7">
        <f t="shared" si="113"/>
        <v>1</v>
      </c>
      <c r="S417">
        <v>5168870.9032769967</v>
      </c>
      <c r="T417" s="11">
        <f t="shared" si="114"/>
        <v>0</v>
      </c>
      <c r="U417" s="11">
        <f t="shared" si="115"/>
        <v>2.1873880158507707E-5</v>
      </c>
      <c r="V417" s="22">
        <v>2134.263237953186</v>
      </c>
    </row>
    <row r="418" spans="1:22" x14ac:dyDescent="0.35">
      <c r="A418" s="14" t="s">
        <v>553</v>
      </c>
      <c r="B418" s="13" t="s">
        <v>576</v>
      </c>
      <c r="C418" s="13" t="s">
        <v>580</v>
      </c>
      <c r="D418" s="13">
        <v>2000</v>
      </c>
      <c r="E418" s="13">
        <v>2000</v>
      </c>
      <c r="F418">
        <f t="shared" si="106"/>
        <v>5131805.6255129976</v>
      </c>
      <c r="G418" s="15">
        <v>5131805.6255129976</v>
      </c>
      <c r="H418" s="7">
        <f t="shared" si="107"/>
        <v>1</v>
      </c>
      <c r="I418">
        <v>5131805.6255129976</v>
      </c>
      <c r="J418" s="11">
        <f t="shared" si="108"/>
        <v>0</v>
      </c>
      <c r="K418" s="11">
        <f t="shared" si="109"/>
        <v>0</v>
      </c>
      <c r="L418" s="22">
        <v>1349.5</v>
      </c>
      <c r="M418" s="7">
        <f t="shared" si="110"/>
        <v>1</v>
      </c>
      <c r="N418">
        <v>5131851.8651479986</v>
      </c>
      <c r="O418" s="11">
        <f t="shared" si="111"/>
        <v>9.0104026487391307E-6</v>
      </c>
      <c r="P418" s="11">
        <f t="shared" si="112"/>
        <v>9.0104026487391307E-6</v>
      </c>
      <c r="Q418" s="22">
        <v>1775.7344949245451</v>
      </c>
      <c r="R418" s="7">
        <f t="shared" si="113"/>
        <v>1</v>
      </c>
      <c r="S418">
        <v>5131838.4293429973</v>
      </c>
      <c r="T418" s="11">
        <f t="shared" si="114"/>
        <v>6.3922588643176387E-6</v>
      </c>
      <c r="U418" s="11">
        <f t="shared" si="115"/>
        <v>6.3922588643176387E-6</v>
      </c>
      <c r="V418" s="22">
        <v>2288.3168437480931</v>
      </c>
    </row>
    <row r="419" spans="1:22" x14ac:dyDescent="0.35">
      <c r="A419" s="14" t="s">
        <v>373</v>
      </c>
      <c r="B419" s="13" t="s">
        <v>576</v>
      </c>
      <c r="C419" s="13" t="s">
        <v>580</v>
      </c>
      <c r="D419" s="13">
        <v>2000</v>
      </c>
      <c r="E419" s="13">
        <v>2000</v>
      </c>
      <c r="F419">
        <f t="shared" si="106"/>
        <v>5046486.2133360002</v>
      </c>
      <c r="G419" s="15">
        <v>5046111.159567182</v>
      </c>
      <c r="H419" s="7">
        <f t="shared" si="107"/>
        <v>1</v>
      </c>
      <c r="I419">
        <v>5046551.7949320003</v>
      </c>
      <c r="J419" s="11">
        <f t="shared" si="108"/>
        <v>1.2995496911655498E-5</v>
      </c>
      <c r="K419" s="11">
        <f t="shared" si="109"/>
        <v>8.7321771337312584E-5</v>
      </c>
      <c r="L419" s="22">
        <v>1244.5999999999999</v>
      </c>
      <c r="M419" s="7">
        <f t="shared" si="110"/>
        <v>1</v>
      </c>
      <c r="N419">
        <v>5046551.7949319975</v>
      </c>
      <c r="O419" s="11">
        <f t="shared" si="111"/>
        <v>1.2995496911101852E-5</v>
      </c>
      <c r="P419" s="11">
        <f t="shared" si="112"/>
        <v>8.7321771336758896E-5</v>
      </c>
      <c r="Q419" s="22">
        <v>1659.3237481117251</v>
      </c>
      <c r="R419" s="7">
        <f t="shared" si="113"/>
        <v>1</v>
      </c>
      <c r="S419">
        <v>5046486.2133360002</v>
      </c>
      <c r="T419" s="11">
        <f t="shared" si="114"/>
        <v>0</v>
      </c>
      <c r="U419" s="11">
        <f t="shared" si="115"/>
        <v>7.4325308531339614E-5</v>
      </c>
      <c r="V419" s="22">
        <v>2468.9735012054439</v>
      </c>
    </row>
    <row r="420" spans="1:22" x14ac:dyDescent="0.35">
      <c r="A420" s="14" t="s">
        <v>554</v>
      </c>
      <c r="B420" s="13" t="s">
        <v>576</v>
      </c>
      <c r="C420" s="13" t="s">
        <v>580</v>
      </c>
      <c r="D420" s="13">
        <v>2000</v>
      </c>
      <c r="E420" s="13">
        <v>2000</v>
      </c>
      <c r="F420">
        <f t="shared" si="106"/>
        <v>5128776.8918789979</v>
      </c>
      <c r="G420" s="15">
        <v>5128776.8918789979</v>
      </c>
      <c r="H420" s="7">
        <f t="shared" si="107"/>
        <v>1</v>
      </c>
      <c r="I420">
        <v>5128776.8918789979</v>
      </c>
      <c r="J420" s="11">
        <f t="shared" si="108"/>
        <v>0</v>
      </c>
      <c r="K420" s="11">
        <f t="shared" si="109"/>
        <v>0</v>
      </c>
      <c r="L420" s="22">
        <v>2698.4</v>
      </c>
      <c r="M420" s="7">
        <f t="shared" si="110"/>
        <v>1</v>
      </c>
      <c r="N420">
        <v>5128776.8918789979</v>
      </c>
      <c r="O420" s="11">
        <f t="shared" si="111"/>
        <v>0</v>
      </c>
      <c r="P420" s="11">
        <f t="shared" si="112"/>
        <v>0</v>
      </c>
      <c r="Q420" s="22">
        <v>1676.54083943367</v>
      </c>
      <c r="R420" s="7">
        <f t="shared" si="113"/>
        <v>0</v>
      </c>
      <c r="S420">
        <v>5129462.4121419974</v>
      </c>
      <c r="T420" s="11">
        <f t="shared" si="114"/>
        <v>1.3366154883534236E-4</v>
      </c>
      <c r="U420" s="11">
        <f t="shared" si="115"/>
        <v>1.3366154883534236E-4</v>
      </c>
      <c r="V420" s="22">
        <v>2482.5287561416631</v>
      </c>
    </row>
    <row r="421" spans="1:22" x14ac:dyDescent="0.35">
      <c r="A421" s="14" t="s">
        <v>456</v>
      </c>
      <c r="B421" s="13" t="s">
        <v>576</v>
      </c>
      <c r="C421" s="13" t="s">
        <v>580</v>
      </c>
      <c r="D421" s="13">
        <v>2000</v>
      </c>
      <c r="E421" s="13">
        <v>2000</v>
      </c>
      <c r="F421">
        <f t="shared" si="106"/>
        <v>5288448.3050219975</v>
      </c>
      <c r="G421" s="15">
        <v>5288174.8771648454</v>
      </c>
      <c r="H421" s="7">
        <f t="shared" si="107"/>
        <v>1</v>
      </c>
      <c r="I421">
        <v>5288448.3050219975</v>
      </c>
      <c r="J421" s="11">
        <f t="shared" si="108"/>
        <v>0</v>
      </c>
      <c r="K421" s="11">
        <f t="shared" si="109"/>
        <v>5.1705524779993563E-5</v>
      </c>
      <c r="L421" s="22">
        <v>1221.7</v>
      </c>
      <c r="M421" s="7">
        <f t="shared" si="110"/>
        <v>1</v>
      </c>
      <c r="N421">
        <v>5288697.535486998</v>
      </c>
      <c r="O421" s="11">
        <f t="shared" si="111"/>
        <v>4.7127333127908611E-5</v>
      </c>
      <c r="P421" s="11">
        <f t="shared" si="112"/>
        <v>9.8835294651393032E-5</v>
      </c>
      <c r="Q421" s="22">
        <v>1655.4215989112849</v>
      </c>
      <c r="R421" s="7">
        <f t="shared" si="113"/>
        <v>1</v>
      </c>
      <c r="S421">
        <v>5288835.2565129977</v>
      </c>
      <c r="T421" s="11">
        <f t="shared" si="114"/>
        <v>7.3169192300258525E-5</v>
      </c>
      <c r="U421" s="11">
        <f t="shared" si="115"/>
        <v>1.2487850033173769E-4</v>
      </c>
      <c r="V421" s="22">
        <v>2140.9613475799561</v>
      </c>
    </row>
    <row r="422" spans="1:22" x14ac:dyDescent="0.35">
      <c r="A422" s="14" t="s">
        <v>462</v>
      </c>
      <c r="B422" s="13" t="s">
        <v>576</v>
      </c>
      <c r="C422" s="13" t="s">
        <v>580</v>
      </c>
      <c r="D422" s="13">
        <v>2000</v>
      </c>
      <c r="E422" s="13">
        <v>2000</v>
      </c>
      <c r="F422">
        <f t="shared" si="106"/>
        <v>5005843.2580390004</v>
      </c>
      <c r="G422" s="15">
        <v>5005599.8670382239</v>
      </c>
      <c r="H422" s="7">
        <f t="shared" si="107"/>
        <v>1</v>
      </c>
      <c r="I422">
        <v>5005843.2580390004</v>
      </c>
      <c r="J422" s="11">
        <f t="shared" si="108"/>
        <v>0</v>
      </c>
      <c r="K422" s="11">
        <f t="shared" si="109"/>
        <v>4.8623742856331087E-5</v>
      </c>
      <c r="L422" s="22">
        <v>1134.3</v>
      </c>
      <c r="M422" s="7">
        <f t="shared" si="110"/>
        <v>1</v>
      </c>
      <c r="N422">
        <v>5006097.6635419987</v>
      </c>
      <c r="O422" s="11">
        <f t="shared" si="111"/>
        <v>5.0821707729205136E-5</v>
      </c>
      <c r="P422" s="11">
        <f t="shared" si="112"/>
        <v>9.9447921727184363E-5</v>
      </c>
      <c r="Q422" s="22">
        <v>1704.917957544327</v>
      </c>
      <c r="R422" s="7">
        <f t="shared" si="113"/>
        <v>1</v>
      </c>
      <c r="S422">
        <v>5005843.2580390004</v>
      </c>
      <c r="T422" s="11">
        <f t="shared" si="114"/>
        <v>0</v>
      </c>
      <c r="U422" s="11">
        <f t="shared" si="115"/>
        <v>4.8623742856331087E-5</v>
      </c>
      <c r="V422" s="22">
        <v>2933.4585213661189</v>
      </c>
    </row>
    <row r="423" spans="1:22" x14ac:dyDescent="0.35">
      <c r="A423" s="14" t="s">
        <v>530</v>
      </c>
      <c r="B423" s="13" t="s">
        <v>576</v>
      </c>
      <c r="C423" s="13" t="s">
        <v>580</v>
      </c>
      <c r="D423" s="13">
        <v>2000</v>
      </c>
      <c r="E423" s="13">
        <v>2000</v>
      </c>
      <c r="F423">
        <f t="shared" si="106"/>
        <v>4857965.3851569984</v>
      </c>
      <c r="G423" s="15">
        <v>4857827.9221447073</v>
      </c>
      <c r="H423" s="7">
        <f t="shared" si="107"/>
        <v>1</v>
      </c>
      <c r="I423">
        <v>4857965.3851569984</v>
      </c>
      <c r="J423" s="11">
        <f t="shared" si="108"/>
        <v>0</v>
      </c>
      <c r="K423" s="11">
        <f t="shared" si="109"/>
        <v>2.8297217294273622E-5</v>
      </c>
      <c r="L423" s="22">
        <v>1208.8</v>
      </c>
      <c r="M423" s="7">
        <f t="shared" si="110"/>
        <v>1</v>
      </c>
      <c r="N423">
        <v>4858111.9021839993</v>
      </c>
      <c r="O423" s="11">
        <f t="shared" si="111"/>
        <v>3.0160162822189714E-5</v>
      </c>
      <c r="P423" s="11">
        <f t="shared" si="112"/>
        <v>5.8458233565144346E-5</v>
      </c>
      <c r="Q423" s="22">
        <v>1972.8940401077271</v>
      </c>
      <c r="R423" s="7">
        <f t="shared" si="113"/>
        <v>1</v>
      </c>
      <c r="S423">
        <v>4858111.9005219992</v>
      </c>
      <c r="T423" s="11">
        <f t="shared" si="114"/>
        <v>3.0159820703637879E-5</v>
      </c>
      <c r="U423" s="11">
        <f t="shared" si="115"/>
        <v>5.8457891436911504E-5</v>
      </c>
      <c r="V423" s="22">
        <v>4070.4338314533229</v>
      </c>
    </row>
    <row r="424" spans="1:22" x14ac:dyDescent="0.35">
      <c r="A424" s="14" t="s">
        <v>377</v>
      </c>
      <c r="B424" s="13" t="s">
        <v>576</v>
      </c>
      <c r="C424" s="13" t="s">
        <v>580</v>
      </c>
      <c r="D424" s="13">
        <v>2000</v>
      </c>
      <c r="E424" s="13">
        <v>2000</v>
      </c>
      <c r="F424">
        <f t="shared" si="106"/>
        <v>5017517.7239009989</v>
      </c>
      <c r="G424" s="15">
        <v>5017228.324760627</v>
      </c>
      <c r="H424" s="7">
        <f t="shared" si="107"/>
        <v>1</v>
      </c>
      <c r="I424">
        <v>5017655.2566859992</v>
      </c>
      <c r="J424" s="11">
        <f t="shared" si="108"/>
        <v>2.741052300525829E-5</v>
      </c>
      <c r="K424" s="11">
        <f t="shared" si="109"/>
        <v>8.509318247791515E-5</v>
      </c>
      <c r="L424" s="22">
        <v>1170.2</v>
      </c>
      <c r="M424" s="7">
        <f t="shared" si="110"/>
        <v>1</v>
      </c>
      <c r="N424">
        <v>5017517.7239009989</v>
      </c>
      <c r="O424" s="11">
        <f t="shared" si="111"/>
        <v>0</v>
      </c>
      <c r="P424" s="11">
        <f t="shared" si="112"/>
        <v>5.7681078404130294E-5</v>
      </c>
      <c r="Q424" s="22">
        <v>1643.149703502655</v>
      </c>
      <c r="R424" s="7">
        <f t="shared" si="113"/>
        <v>1</v>
      </c>
      <c r="S424">
        <v>5017517.7239009989</v>
      </c>
      <c r="T424" s="11">
        <f t="shared" si="114"/>
        <v>0</v>
      </c>
      <c r="U424" s="11">
        <f t="shared" si="115"/>
        <v>5.7681078404130294E-5</v>
      </c>
      <c r="V424" s="22">
        <v>5602.7121639251709</v>
      </c>
    </row>
    <row r="425" spans="1:22" x14ac:dyDescent="0.35">
      <c r="A425" s="14" t="s">
        <v>560</v>
      </c>
      <c r="B425" s="13" t="s">
        <v>576</v>
      </c>
      <c r="C425" s="13" t="s">
        <v>580</v>
      </c>
      <c r="D425" s="13">
        <v>2000</v>
      </c>
      <c r="E425" s="13">
        <v>2000</v>
      </c>
      <c r="F425">
        <f t="shared" si="106"/>
        <v>5050219.3195699984</v>
      </c>
      <c r="G425" s="15">
        <v>5050219.3195700115</v>
      </c>
      <c r="H425" s="7">
        <f t="shared" si="107"/>
        <v>1</v>
      </c>
      <c r="I425">
        <v>5050219.3195699984</v>
      </c>
      <c r="J425" s="11">
        <f t="shared" si="108"/>
        <v>0</v>
      </c>
      <c r="K425" s="11">
        <f t="shared" si="109"/>
        <v>-2.5817722398889463E-15</v>
      </c>
      <c r="L425" s="22">
        <v>1240.3</v>
      </c>
      <c r="M425" s="7">
        <f t="shared" si="110"/>
        <v>1</v>
      </c>
      <c r="N425">
        <v>5050301.3726439979</v>
      </c>
      <c r="O425" s="11">
        <f t="shared" si="111"/>
        <v>1.6247427845660053E-5</v>
      </c>
      <c r="P425" s="11">
        <f t="shared" si="112"/>
        <v>1.6247427843078239E-5</v>
      </c>
      <c r="Q425" s="22">
        <v>1837.1530706882479</v>
      </c>
      <c r="R425" s="7">
        <f t="shared" si="113"/>
        <v>0</v>
      </c>
      <c r="S425">
        <v>5053108.3289469983</v>
      </c>
      <c r="T425" s="11">
        <f t="shared" si="114"/>
        <v>5.7205622056942811E-4</v>
      </c>
      <c r="U425" s="11">
        <f t="shared" si="115"/>
        <v>5.7205622056684489E-4</v>
      </c>
      <c r="V425" s="22">
        <v>7211.5426952838898</v>
      </c>
    </row>
    <row r="426" spans="1:22" ht="15" thickBot="1" x14ac:dyDescent="0.4">
      <c r="A426" s="16" t="s">
        <v>555</v>
      </c>
      <c r="B426" s="17" t="s">
        <v>576</v>
      </c>
      <c r="C426" s="17" t="s">
        <v>580</v>
      </c>
      <c r="D426" s="17">
        <v>2000</v>
      </c>
      <c r="E426" s="17">
        <v>2000</v>
      </c>
      <c r="F426" s="9">
        <f t="shared" si="106"/>
        <v>4982433.9388799984</v>
      </c>
      <c r="G426" s="18">
        <v>4982433.9388799984</v>
      </c>
      <c r="H426" s="8">
        <f t="shared" si="107"/>
        <v>1</v>
      </c>
      <c r="I426" s="9">
        <v>4982433.9388799984</v>
      </c>
      <c r="J426" s="12">
        <f t="shared" si="108"/>
        <v>0</v>
      </c>
      <c r="K426" s="12">
        <f t="shared" si="109"/>
        <v>0</v>
      </c>
      <c r="L426" s="23">
        <v>1351.5</v>
      </c>
      <c r="M426" s="8">
        <f t="shared" si="110"/>
        <v>1</v>
      </c>
      <c r="N426" s="9">
        <v>4982433.9388799984</v>
      </c>
      <c r="O426" s="12">
        <f t="shared" si="111"/>
        <v>0</v>
      </c>
      <c r="P426" s="12">
        <f t="shared" si="112"/>
        <v>0</v>
      </c>
      <c r="Q426" s="23">
        <v>1668.617275714874</v>
      </c>
      <c r="R426" s="8">
        <f t="shared" si="113"/>
        <v>1</v>
      </c>
      <c r="S426" s="9">
        <v>4982822.7559029981</v>
      </c>
      <c r="T426" s="12">
        <f t="shared" si="114"/>
        <v>7.8037567134738733E-5</v>
      </c>
      <c r="U426" s="12">
        <f t="shared" si="115"/>
        <v>7.8037567134738733E-5</v>
      </c>
      <c r="V426" s="23">
        <v>3966.1638839244838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5"/>
  <sheetViews>
    <sheetView workbookViewId="0">
      <pane xSplit="2" ySplit="2" topLeftCell="F3" activePane="bottomRight" state="frozen"/>
      <selection pane="topRight" activeCell="C1" sqref="C1"/>
      <selection pane="bottomLeft" activeCell="A2" sqref="A2"/>
      <selection pane="bottomRight" activeCell="AB4" sqref="AB4"/>
    </sheetView>
  </sheetViews>
  <sheetFormatPr baseColWidth="10" defaultColWidth="8.7265625" defaultRowHeight="14.5" x14ac:dyDescent="0.35"/>
  <cols>
    <col min="1" max="1" width="10.81640625" bestFit="1" customWidth="1"/>
    <col min="2" max="2" width="7.54296875" bestFit="1" customWidth="1"/>
    <col min="20" max="20" width="11" bestFit="1" customWidth="1"/>
    <col min="21" max="21" width="11" customWidth="1"/>
  </cols>
  <sheetData>
    <row r="1" spans="1:29" ht="15" thickBot="1" x14ac:dyDescent="0.4">
      <c r="D1" s="53" t="s">
        <v>593</v>
      </c>
      <c r="E1" s="53"/>
      <c r="F1" s="53"/>
      <c r="G1" s="53"/>
      <c r="H1" s="53"/>
      <c r="I1" s="51"/>
      <c r="M1" s="53" t="s">
        <v>594</v>
      </c>
      <c r="N1" s="53"/>
      <c r="O1" s="53"/>
      <c r="P1" s="53"/>
      <c r="Q1" s="53"/>
      <c r="R1" s="51"/>
      <c r="V1" s="53" t="s">
        <v>595</v>
      </c>
      <c r="W1" s="53"/>
      <c r="X1" s="53"/>
      <c r="Y1" s="53"/>
      <c r="Z1" s="53"/>
      <c r="AA1" s="51"/>
    </row>
    <row r="2" spans="1:29" s="1" customFormat="1" ht="15" thickBot="1" x14ac:dyDescent="0.4">
      <c r="A2" s="2" t="s">
        <v>0</v>
      </c>
      <c r="B2" s="3" t="s">
        <v>119</v>
      </c>
    </row>
    <row r="3" spans="1:29" x14ac:dyDescent="0.35">
      <c r="A3" s="7" t="s">
        <v>1</v>
      </c>
      <c r="B3" t="s">
        <v>113</v>
      </c>
      <c r="D3">
        <v>3</v>
      </c>
      <c r="E3">
        <v>3</v>
      </c>
      <c r="F3">
        <v>3</v>
      </c>
      <c r="G3">
        <v>3</v>
      </c>
      <c r="H3">
        <v>3</v>
      </c>
      <c r="I3">
        <f>AVERAGE(D3:H3)</f>
        <v>3</v>
      </c>
      <c r="J3">
        <f>_xlfn.STDEV.S(D3:H3)</f>
        <v>0</v>
      </c>
      <c r="K3">
        <f>J3/I3</f>
        <v>0</v>
      </c>
      <c r="M3" s="50">
        <v>28.333333333333329</v>
      </c>
      <c r="N3" s="50">
        <v>28.333333333333329</v>
      </c>
      <c r="O3" s="50">
        <v>28.333333333333329</v>
      </c>
      <c r="P3" s="50">
        <v>28.333333333333329</v>
      </c>
      <c r="Q3">
        <v>28.333333333333329</v>
      </c>
      <c r="R3" s="50">
        <f>AVERAGE(M3:P3)</f>
        <v>28.333333333333329</v>
      </c>
      <c r="S3" s="50">
        <f>_xlfn.STDEV.S(M3:Q3)</f>
        <v>3.972054645195637E-15</v>
      </c>
      <c r="T3">
        <f>S3/R3</f>
        <v>1.4019016394808133E-16</v>
      </c>
      <c r="V3" s="50">
        <v>11501.33333333333</v>
      </c>
      <c r="W3" s="50">
        <v>11472.33333333333</v>
      </c>
      <c r="X3">
        <v>11482.66666666667</v>
      </c>
      <c r="Y3" s="50">
        <v>11536.33333333333</v>
      </c>
      <c r="Z3">
        <v>11472.33333333333</v>
      </c>
      <c r="AA3" s="50">
        <f>AVERAGE(V3:Z3)</f>
        <v>11492.999999999996</v>
      </c>
      <c r="AB3">
        <f>_xlfn.STDEV.S(V3:Z3)</f>
        <v>26.963967726496119</v>
      </c>
      <c r="AC3">
        <f>AB3/AA3</f>
        <v>2.3461209193853761E-3</v>
      </c>
    </row>
    <row r="4" spans="1:29" x14ac:dyDescent="0.35">
      <c r="A4" s="7" t="s">
        <v>2</v>
      </c>
      <c r="B4" t="s">
        <v>113</v>
      </c>
      <c r="D4">
        <v>3</v>
      </c>
      <c r="E4">
        <v>3</v>
      </c>
      <c r="F4">
        <v>3</v>
      </c>
      <c r="G4">
        <v>3</v>
      </c>
      <c r="H4">
        <v>3</v>
      </c>
      <c r="I4">
        <f t="shared" ref="I4:I67" si="0">AVERAGE(D4:H4)</f>
        <v>3</v>
      </c>
      <c r="J4">
        <f t="shared" ref="J4:J67" si="1">_xlfn.STDEV.S(D4:H4)</f>
        <v>0</v>
      </c>
      <c r="K4">
        <f t="shared" ref="K4:K67" si="2">J4/I4</f>
        <v>0</v>
      </c>
      <c r="M4" s="50">
        <v>29.666666666666671</v>
      </c>
      <c r="N4" s="50">
        <v>29.666666666666671</v>
      </c>
      <c r="O4" s="50">
        <v>29.666666666666671</v>
      </c>
      <c r="P4" s="50">
        <v>29.666666666666671</v>
      </c>
      <c r="Q4">
        <v>29.666666666666671</v>
      </c>
      <c r="R4" s="50">
        <f t="shared" ref="R4:R67" si="3">AVERAGE(M4:P4)</f>
        <v>29.666666666666671</v>
      </c>
      <c r="S4" s="50">
        <f t="shared" ref="S4:S67" si="4">_xlfn.STDEV.S(M4:Q4)</f>
        <v>3.972054645195637E-15</v>
      </c>
      <c r="T4">
        <f t="shared" ref="T4:T67" si="5">S4/R4</f>
        <v>1.3388948242232482E-16</v>
      </c>
      <c r="V4" s="50">
        <v>11860</v>
      </c>
      <c r="W4" s="50">
        <v>11835.66666666667</v>
      </c>
      <c r="X4">
        <v>11856</v>
      </c>
      <c r="Y4" s="50">
        <v>11844.66666666667</v>
      </c>
      <c r="Z4">
        <v>11954.66666666667</v>
      </c>
      <c r="AA4" s="50">
        <f t="shared" ref="AA4:AA67" si="6">AVERAGE(V4:Z4)</f>
        <v>11870.200000000003</v>
      </c>
      <c r="AB4">
        <f t="shared" ref="AB4:AB67" si="7">_xlfn.STDEV.S(V4:Z4)</f>
        <v>48.17883352676813</v>
      </c>
      <c r="AC4">
        <f t="shared" ref="AC4:AC67" si="8">AB4/AA4</f>
        <v>4.0588055404936832E-3</v>
      </c>
    </row>
    <row r="5" spans="1:29" x14ac:dyDescent="0.35">
      <c r="A5" s="7" t="s">
        <v>3</v>
      </c>
      <c r="B5" t="s">
        <v>113</v>
      </c>
      <c r="D5">
        <v>3</v>
      </c>
      <c r="E5">
        <v>3</v>
      </c>
      <c r="F5">
        <v>3</v>
      </c>
      <c r="G5">
        <v>3</v>
      </c>
      <c r="H5">
        <v>3</v>
      </c>
      <c r="I5">
        <f t="shared" si="0"/>
        <v>3</v>
      </c>
      <c r="J5">
        <f t="shared" si="1"/>
        <v>0</v>
      </c>
      <c r="K5">
        <f t="shared" si="2"/>
        <v>0</v>
      </c>
      <c r="M5" s="50">
        <v>30.666666666666671</v>
      </c>
      <c r="N5" s="50">
        <v>30.666666666666671</v>
      </c>
      <c r="O5" s="50">
        <v>30.666666666666671</v>
      </c>
      <c r="P5" s="50">
        <v>30.666666666666671</v>
      </c>
      <c r="Q5">
        <v>30.666666666666671</v>
      </c>
      <c r="R5" s="50">
        <f t="shared" si="3"/>
        <v>30.666666666666671</v>
      </c>
      <c r="S5" s="50">
        <f t="shared" si="4"/>
        <v>3.972054645195637E-15</v>
      </c>
      <c r="T5">
        <f t="shared" si="5"/>
        <v>1.2952352103898815E-16</v>
      </c>
      <c r="V5" s="50">
        <v>12235</v>
      </c>
      <c r="W5" s="50">
        <v>12234</v>
      </c>
      <c r="X5">
        <v>12235</v>
      </c>
      <c r="Y5" s="50">
        <v>12233.33333333333</v>
      </c>
      <c r="Z5">
        <v>12235</v>
      </c>
      <c r="AA5" s="50">
        <f t="shared" si="6"/>
        <v>12234.466666666665</v>
      </c>
      <c r="AB5">
        <f t="shared" si="7"/>
        <v>0.76739096221587522</v>
      </c>
      <c r="AC5">
        <f t="shared" si="8"/>
        <v>6.2723695533591594E-5</v>
      </c>
    </row>
    <row r="6" spans="1:29" x14ac:dyDescent="0.35">
      <c r="A6" s="7" t="s">
        <v>4</v>
      </c>
      <c r="B6" t="s">
        <v>113</v>
      </c>
      <c r="D6">
        <v>3</v>
      </c>
      <c r="E6">
        <v>3</v>
      </c>
      <c r="F6">
        <v>3</v>
      </c>
      <c r="G6">
        <v>3</v>
      </c>
      <c r="H6">
        <v>3</v>
      </c>
      <c r="I6">
        <f t="shared" si="0"/>
        <v>3</v>
      </c>
      <c r="J6">
        <f t="shared" si="1"/>
        <v>0</v>
      </c>
      <c r="K6">
        <f t="shared" si="2"/>
        <v>0</v>
      </c>
      <c r="M6" s="50">
        <v>32</v>
      </c>
      <c r="N6" s="50">
        <v>32</v>
      </c>
      <c r="O6" s="50">
        <v>32</v>
      </c>
      <c r="P6" s="50">
        <v>32</v>
      </c>
      <c r="Q6">
        <v>32</v>
      </c>
      <c r="R6" s="50">
        <f t="shared" si="3"/>
        <v>32</v>
      </c>
      <c r="S6" s="50">
        <f t="shared" si="4"/>
        <v>0</v>
      </c>
      <c r="T6">
        <f t="shared" si="5"/>
        <v>0</v>
      </c>
      <c r="V6" s="50">
        <v>12768.66666666667</v>
      </c>
      <c r="W6" s="50">
        <v>12768</v>
      </c>
      <c r="X6">
        <v>12764.66666666667</v>
      </c>
      <c r="Y6" s="50">
        <v>12768</v>
      </c>
      <c r="Z6">
        <v>12768.66666666667</v>
      </c>
      <c r="AA6" s="50">
        <f t="shared" si="6"/>
        <v>12767.600000000002</v>
      </c>
      <c r="AB6">
        <f t="shared" si="7"/>
        <v>1.6733200530677887</v>
      </c>
      <c r="AC6">
        <f t="shared" si="8"/>
        <v>1.3105987445313045E-4</v>
      </c>
    </row>
    <row r="7" spans="1:29" x14ac:dyDescent="0.35">
      <c r="A7" s="7" t="s">
        <v>5</v>
      </c>
      <c r="B7" t="s">
        <v>113</v>
      </c>
      <c r="D7">
        <v>3</v>
      </c>
      <c r="E7">
        <v>3</v>
      </c>
      <c r="F7">
        <v>3</v>
      </c>
      <c r="G7">
        <v>3</v>
      </c>
      <c r="H7">
        <v>3</v>
      </c>
      <c r="I7">
        <f t="shared" si="0"/>
        <v>3</v>
      </c>
      <c r="J7">
        <f t="shared" si="1"/>
        <v>0</v>
      </c>
      <c r="K7">
        <f t="shared" si="2"/>
        <v>0</v>
      </c>
      <c r="M7" s="50">
        <v>26.333333333333329</v>
      </c>
      <c r="N7" s="50">
        <v>26.333333333333329</v>
      </c>
      <c r="O7" s="50">
        <v>26.333333333333329</v>
      </c>
      <c r="P7" s="50">
        <v>26.333333333333329</v>
      </c>
      <c r="Q7">
        <v>26.333333333333329</v>
      </c>
      <c r="R7" s="50">
        <f t="shared" si="3"/>
        <v>26.333333333333329</v>
      </c>
      <c r="S7" s="50">
        <f t="shared" si="4"/>
        <v>3.972054645195637E-15</v>
      </c>
      <c r="T7">
        <f t="shared" si="5"/>
        <v>1.5083751817198624E-16</v>
      </c>
      <c r="V7" s="50">
        <v>10002</v>
      </c>
      <c r="W7" s="50">
        <v>10101</v>
      </c>
      <c r="X7">
        <v>10001.33333333333</v>
      </c>
      <c r="Y7" s="50">
        <v>9922.3333333333339</v>
      </c>
      <c r="Z7">
        <v>9976.6666666666661</v>
      </c>
      <c r="AA7" s="50">
        <f t="shared" si="6"/>
        <v>10000.666666666666</v>
      </c>
      <c r="AB7">
        <f t="shared" si="7"/>
        <v>64.770964002226805</v>
      </c>
      <c r="AC7">
        <f t="shared" si="8"/>
        <v>6.4766646225811759E-3</v>
      </c>
    </row>
    <row r="8" spans="1:29" x14ac:dyDescent="0.35">
      <c r="A8" s="7" t="s">
        <v>6</v>
      </c>
      <c r="B8" t="s">
        <v>113</v>
      </c>
      <c r="D8">
        <v>3</v>
      </c>
      <c r="E8">
        <v>3</v>
      </c>
      <c r="F8">
        <v>3</v>
      </c>
      <c r="G8">
        <v>3</v>
      </c>
      <c r="H8">
        <v>3</v>
      </c>
      <c r="I8">
        <f t="shared" si="0"/>
        <v>3</v>
      </c>
      <c r="J8">
        <f t="shared" si="1"/>
        <v>0</v>
      </c>
      <c r="K8">
        <f t="shared" si="2"/>
        <v>0</v>
      </c>
      <c r="M8" s="50">
        <v>26</v>
      </c>
      <c r="N8" s="50">
        <v>26</v>
      </c>
      <c r="O8" s="50">
        <v>26</v>
      </c>
      <c r="P8" s="50">
        <v>26</v>
      </c>
      <c r="Q8">
        <v>26</v>
      </c>
      <c r="R8" s="50">
        <f t="shared" si="3"/>
        <v>26</v>
      </c>
      <c r="S8" s="50">
        <f t="shared" si="4"/>
        <v>0</v>
      </c>
      <c r="T8">
        <f t="shared" si="5"/>
        <v>0</v>
      </c>
      <c r="V8" s="50">
        <v>10104.33333333333</v>
      </c>
      <c r="W8" s="50">
        <v>10102.33333333333</v>
      </c>
      <c r="X8">
        <v>10119.66666666667</v>
      </c>
      <c r="Y8" s="50">
        <v>10067.33333333333</v>
      </c>
      <c r="Z8">
        <v>10201</v>
      </c>
      <c r="AA8" s="50">
        <f t="shared" si="6"/>
        <v>10118.933333333331</v>
      </c>
      <c r="AB8">
        <f t="shared" si="7"/>
        <v>49.716082799120599</v>
      </c>
      <c r="AC8">
        <f t="shared" si="8"/>
        <v>4.9131742607047462E-3</v>
      </c>
    </row>
    <row r="9" spans="1:29" x14ac:dyDescent="0.35">
      <c r="A9" s="7" t="s">
        <v>7</v>
      </c>
      <c r="B9" t="s">
        <v>113</v>
      </c>
      <c r="D9">
        <v>3</v>
      </c>
      <c r="E9">
        <v>3</v>
      </c>
      <c r="F9">
        <v>3</v>
      </c>
      <c r="G9">
        <v>3</v>
      </c>
      <c r="H9">
        <v>3</v>
      </c>
      <c r="I9">
        <f t="shared" si="0"/>
        <v>3</v>
      </c>
      <c r="J9">
        <f t="shared" si="1"/>
        <v>0</v>
      </c>
      <c r="K9">
        <f t="shared" si="2"/>
        <v>0</v>
      </c>
      <c r="M9" s="50">
        <v>26</v>
      </c>
      <c r="N9" s="50">
        <v>26</v>
      </c>
      <c r="O9" s="50">
        <v>26</v>
      </c>
      <c r="P9" s="50">
        <v>26</v>
      </c>
      <c r="Q9">
        <v>26</v>
      </c>
      <c r="R9" s="50">
        <f t="shared" si="3"/>
        <v>26</v>
      </c>
      <c r="S9" s="50">
        <f t="shared" si="4"/>
        <v>0</v>
      </c>
      <c r="T9">
        <f t="shared" si="5"/>
        <v>0</v>
      </c>
      <c r="V9" s="50">
        <v>9987.6666666666661</v>
      </c>
      <c r="W9" s="50">
        <v>10111.66666666667</v>
      </c>
      <c r="X9">
        <v>10049</v>
      </c>
      <c r="Y9" s="50">
        <v>10045.66666666667</v>
      </c>
      <c r="Z9">
        <v>9930</v>
      </c>
      <c r="AA9" s="50">
        <f t="shared" si="6"/>
        <v>10024.800000000001</v>
      </c>
      <c r="AB9">
        <f t="shared" si="7"/>
        <v>68.798255791845293</v>
      </c>
      <c r="AC9">
        <f t="shared" si="8"/>
        <v>6.8628058207490707E-3</v>
      </c>
    </row>
    <row r="10" spans="1:29" x14ac:dyDescent="0.35">
      <c r="A10" s="7" t="s">
        <v>8</v>
      </c>
      <c r="B10" t="s">
        <v>113</v>
      </c>
      <c r="D10">
        <v>3</v>
      </c>
      <c r="E10">
        <v>3</v>
      </c>
      <c r="F10">
        <v>3</v>
      </c>
      <c r="G10">
        <v>3</v>
      </c>
      <c r="H10">
        <v>3</v>
      </c>
      <c r="I10">
        <f t="shared" si="0"/>
        <v>3</v>
      </c>
      <c r="J10">
        <f t="shared" si="1"/>
        <v>0</v>
      </c>
      <c r="K10">
        <f t="shared" si="2"/>
        <v>0</v>
      </c>
      <c r="M10" s="50">
        <v>28</v>
      </c>
      <c r="N10" s="50">
        <v>28</v>
      </c>
      <c r="O10" s="50">
        <v>28</v>
      </c>
      <c r="P10" s="50">
        <v>28</v>
      </c>
      <c r="Q10">
        <v>28</v>
      </c>
      <c r="R10" s="50">
        <f t="shared" si="3"/>
        <v>28</v>
      </c>
      <c r="S10" s="50">
        <f t="shared" si="4"/>
        <v>0</v>
      </c>
      <c r="T10">
        <f t="shared" si="5"/>
        <v>0</v>
      </c>
      <c r="V10" s="50">
        <v>10926</v>
      </c>
      <c r="W10" s="50">
        <v>10827</v>
      </c>
      <c r="X10">
        <v>10838.66666666667</v>
      </c>
      <c r="Y10" s="50">
        <v>10910.66666666667</v>
      </c>
      <c r="Z10">
        <v>10847.66666666667</v>
      </c>
      <c r="AA10" s="50">
        <f t="shared" si="6"/>
        <v>10870.000000000004</v>
      </c>
      <c r="AB10">
        <f t="shared" si="7"/>
        <v>45.053671696470126</v>
      </c>
      <c r="AC10">
        <f t="shared" si="8"/>
        <v>4.144772005195042E-3</v>
      </c>
    </row>
    <row r="11" spans="1:29" x14ac:dyDescent="0.35">
      <c r="A11" s="7" t="s">
        <v>9</v>
      </c>
      <c r="B11" t="s">
        <v>113</v>
      </c>
      <c r="D11">
        <v>3</v>
      </c>
      <c r="E11">
        <v>3</v>
      </c>
      <c r="F11">
        <v>3</v>
      </c>
      <c r="G11">
        <v>3</v>
      </c>
      <c r="H11">
        <v>3</v>
      </c>
      <c r="I11">
        <f t="shared" si="0"/>
        <v>3</v>
      </c>
      <c r="J11">
        <f t="shared" si="1"/>
        <v>0</v>
      </c>
      <c r="K11">
        <f t="shared" si="2"/>
        <v>0</v>
      </c>
      <c r="M11" s="50">
        <v>28</v>
      </c>
      <c r="N11" s="50">
        <v>28</v>
      </c>
      <c r="O11" s="50">
        <v>28</v>
      </c>
      <c r="P11" s="50">
        <v>28</v>
      </c>
      <c r="Q11">
        <v>28</v>
      </c>
      <c r="R11" s="50">
        <f t="shared" si="3"/>
        <v>28</v>
      </c>
      <c r="S11" s="50">
        <f t="shared" si="4"/>
        <v>0</v>
      </c>
      <c r="T11">
        <f t="shared" si="5"/>
        <v>0</v>
      </c>
      <c r="V11" s="50">
        <v>10806.66666666667</v>
      </c>
      <c r="W11" s="50">
        <v>10834.33333333333</v>
      </c>
      <c r="X11">
        <v>10856</v>
      </c>
      <c r="Y11" s="50">
        <v>10881.33333333333</v>
      </c>
      <c r="Z11">
        <v>10929.66666666667</v>
      </c>
      <c r="AA11" s="50">
        <f t="shared" si="6"/>
        <v>10861.6</v>
      </c>
      <c r="AB11">
        <f t="shared" si="7"/>
        <v>46.944056540146548</v>
      </c>
      <c r="AC11">
        <f t="shared" si="8"/>
        <v>4.3220203782266464E-3</v>
      </c>
    </row>
    <row r="12" spans="1:29" x14ac:dyDescent="0.35">
      <c r="A12" s="7" t="s">
        <v>10</v>
      </c>
      <c r="B12" t="s">
        <v>113</v>
      </c>
      <c r="D12">
        <v>3</v>
      </c>
      <c r="E12">
        <v>3</v>
      </c>
      <c r="F12">
        <v>3</v>
      </c>
      <c r="G12">
        <v>3</v>
      </c>
      <c r="H12">
        <v>3</v>
      </c>
      <c r="I12">
        <f t="shared" si="0"/>
        <v>3</v>
      </c>
      <c r="J12">
        <f t="shared" si="1"/>
        <v>0</v>
      </c>
      <c r="K12">
        <f t="shared" si="2"/>
        <v>0</v>
      </c>
      <c r="M12" s="50">
        <v>27.666666666666671</v>
      </c>
      <c r="N12" s="50">
        <v>27.666666666666671</v>
      </c>
      <c r="O12" s="50">
        <v>27.666666666666671</v>
      </c>
      <c r="P12" s="50">
        <v>27.666666666666671</v>
      </c>
      <c r="Q12">
        <v>27.666666666666671</v>
      </c>
      <c r="R12" s="50">
        <f t="shared" si="3"/>
        <v>27.666666666666671</v>
      </c>
      <c r="S12" s="50">
        <f t="shared" si="4"/>
        <v>3.972054645195637E-15</v>
      </c>
      <c r="T12">
        <f t="shared" si="5"/>
        <v>1.4356824018779409E-16</v>
      </c>
      <c r="V12" s="50">
        <v>10630.33333333333</v>
      </c>
      <c r="W12" s="50">
        <v>10628.66666666667</v>
      </c>
      <c r="X12">
        <v>10648.33333333333</v>
      </c>
      <c r="Y12" s="50">
        <v>10629.66666666667</v>
      </c>
      <c r="Z12">
        <v>10652.33333333333</v>
      </c>
      <c r="AA12" s="50">
        <f t="shared" si="6"/>
        <v>10637.866666666665</v>
      </c>
      <c r="AB12">
        <f t="shared" si="7"/>
        <v>11.483321238501253</v>
      </c>
      <c r="AC12">
        <f t="shared" si="8"/>
        <v>1.0794759511776723E-3</v>
      </c>
    </row>
    <row r="13" spans="1:29" x14ac:dyDescent="0.35">
      <c r="A13" s="7" t="s">
        <v>11</v>
      </c>
      <c r="B13" t="s">
        <v>113</v>
      </c>
      <c r="D13">
        <v>3</v>
      </c>
      <c r="E13">
        <v>3</v>
      </c>
      <c r="F13">
        <v>3</v>
      </c>
      <c r="G13">
        <v>3</v>
      </c>
      <c r="H13">
        <v>3</v>
      </c>
      <c r="I13">
        <f t="shared" si="0"/>
        <v>3</v>
      </c>
      <c r="J13">
        <f t="shared" si="1"/>
        <v>0</v>
      </c>
      <c r="K13">
        <f t="shared" si="2"/>
        <v>0</v>
      </c>
      <c r="M13" s="50">
        <v>28.333333333333329</v>
      </c>
      <c r="N13" s="50">
        <v>28.333333333333329</v>
      </c>
      <c r="O13" s="50">
        <v>28.333333333333329</v>
      </c>
      <c r="P13" s="50">
        <v>28.333333333333329</v>
      </c>
      <c r="Q13">
        <v>28.333333333333329</v>
      </c>
      <c r="R13" s="50">
        <f t="shared" si="3"/>
        <v>28.333333333333329</v>
      </c>
      <c r="S13" s="50">
        <f t="shared" si="4"/>
        <v>3.972054645195637E-15</v>
      </c>
      <c r="T13">
        <f t="shared" si="5"/>
        <v>1.4019016394808133E-16</v>
      </c>
      <c r="V13" s="50">
        <v>10865.66666666667</v>
      </c>
      <c r="W13" s="50">
        <v>10851.33333333333</v>
      </c>
      <c r="X13">
        <v>10857.66666666667</v>
      </c>
      <c r="Y13" s="50">
        <v>10946.33333333333</v>
      </c>
      <c r="Z13">
        <v>10871.33333333333</v>
      </c>
      <c r="AA13" s="50">
        <f t="shared" si="6"/>
        <v>10878.466666666665</v>
      </c>
      <c r="AB13">
        <f t="shared" si="7"/>
        <v>38.695822341262691</v>
      </c>
      <c r="AC13">
        <f t="shared" si="8"/>
        <v>3.55710262548607E-3</v>
      </c>
    </row>
    <row r="14" spans="1:29" x14ac:dyDescent="0.35">
      <c r="A14" s="7" t="s">
        <v>12</v>
      </c>
      <c r="B14" t="s">
        <v>113</v>
      </c>
      <c r="D14">
        <v>3</v>
      </c>
      <c r="E14">
        <v>3</v>
      </c>
      <c r="F14">
        <v>3</v>
      </c>
      <c r="G14">
        <v>3</v>
      </c>
      <c r="H14">
        <v>3</v>
      </c>
      <c r="I14">
        <f t="shared" si="0"/>
        <v>3</v>
      </c>
      <c r="J14">
        <f t="shared" si="1"/>
        <v>0</v>
      </c>
      <c r="K14">
        <f t="shared" si="2"/>
        <v>0</v>
      </c>
      <c r="M14" s="50">
        <v>28.666666666666671</v>
      </c>
      <c r="N14" s="50">
        <v>28.666666666666671</v>
      </c>
      <c r="O14" s="50">
        <v>28.666666666666671</v>
      </c>
      <c r="P14" s="50">
        <v>28.666666666666671</v>
      </c>
      <c r="Q14">
        <v>28.666666666666671</v>
      </c>
      <c r="R14" s="50">
        <f t="shared" si="3"/>
        <v>28.666666666666671</v>
      </c>
      <c r="S14" s="50">
        <f t="shared" si="4"/>
        <v>3.972054645195637E-15</v>
      </c>
      <c r="T14">
        <f t="shared" si="5"/>
        <v>1.3856004576263847E-16</v>
      </c>
      <c r="V14" s="50">
        <v>11247</v>
      </c>
      <c r="W14" s="50">
        <v>11354.33333333333</v>
      </c>
      <c r="X14">
        <v>11014.33333333333</v>
      </c>
      <c r="Y14" s="50">
        <v>11201.66666666667</v>
      </c>
      <c r="Z14">
        <v>11062.33333333333</v>
      </c>
      <c r="AA14" s="50">
        <f t="shared" si="6"/>
        <v>11175.933333333331</v>
      </c>
      <c r="AB14">
        <f t="shared" si="7"/>
        <v>138.34626445585394</v>
      </c>
      <c r="AC14">
        <f t="shared" si="8"/>
        <v>1.2378945035688651E-2</v>
      </c>
    </row>
    <row r="15" spans="1:29" x14ac:dyDescent="0.35">
      <c r="A15" s="7" t="s">
        <v>33</v>
      </c>
      <c r="B15" t="s">
        <v>115</v>
      </c>
      <c r="D15">
        <v>5</v>
      </c>
      <c r="E15">
        <v>5</v>
      </c>
      <c r="F15">
        <v>5</v>
      </c>
      <c r="G15">
        <v>5</v>
      </c>
      <c r="H15">
        <v>4</v>
      </c>
      <c r="I15">
        <f t="shared" si="0"/>
        <v>4.8</v>
      </c>
      <c r="J15">
        <f t="shared" si="1"/>
        <v>0.44721359549995793</v>
      </c>
      <c r="K15">
        <f t="shared" si="2"/>
        <v>9.3169499062491237E-2</v>
      </c>
      <c r="M15" s="50">
        <v>45.6</v>
      </c>
      <c r="N15" s="50">
        <v>45.6</v>
      </c>
      <c r="O15" s="50">
        <v>45.6</v>
      </c>
      <c r="P15" s="50">
        <v>45.6</v>
      </c>
      <c r="Q15">
        <v>57</v>
      </c>
      <c r="R15" s="50">
        <f t="shared" si="3"/>
        <v>45.6</v>
      </c>
      <c r="S15" s="50">
        <f t="shared" si="4"/>
        <v>5.0982349886995193</v>
      </c>
      <c r="T15">
        <f t="shared" si="5"/>
        <v>0.11180339887498945</v>
      </c>
      <c r="V15" s="50">
        <v>4420.2</v>
      </c>
      <c r="W15" s="50">
        <v>4420.2</v>
      </c>
      <c r="X15">
        <v>4424.2</v>
      </c>
      <c r="Y15" s="50">
        <v>4379</v>
      </c>
      <c r="Z15">
        <v>5641.5</v>
      </c>
      <c r="AA15" s="50">
        <f t="shared" si="6"/>
        <v>4657.0199999999995</v>
      </c>
      <c r="AB15">
        <f t="shared" si="7"/>
        <v>550.6515613343895</v>
      </c>
      <c r="AC15">
        <f t="shared" si="8"/>
        <v>0.11824118456317335</v>
      </c>
    </row>
    <row r="16" spans="1:29" x14ac:dyDescent="0.35">
      <c r="A16" s="7" t="s">
        <v>34</v>
      </c>
      <c r="B16" t="s">
        <v>115</v>
      </c>
      <c r="D16">
        <v>5</v>
      </c>
      <c r="E16">
        <v>5</v>
      </c>
      <c r="F16">
        <v>6</v>
      </c>
      <c r="G16">
        <v>6</v>
      </c>
      <c r="H16">
        <v>4</v>
      </c>
      <c r="I16">
        <f t="shared" si="0"/>
        <v>5.2</v>
      </c>
      <c r="J16">
        <f t="shared" si="1"/>
        <v>0.83666002653407723</v>
      </c>
      <c r="K16">
        <f t="shared" si="2"/>
        <v>0.160896158948861</v>
      </c>
      <c r="M16" s="50">
        <v>53.8</v>
      </c>
      <c r="N16" s="50">
        <v>53.8</v>
      </c>
      <c r="O16" s="50">
        <v>44.833333333333343</v>
      </c>
      <c r="P16" s="50">
        <v>44.833333333333343</v>
      </c>
      <c r="Q16">
        <v>67.25</v>
      </c>
      <c r="R16" s="50">
        <f t="shared" si="3"/>
        <v>49.31666666666667</v>
      </c>
      <c r="S16" s="50">
        <f t="shared" si="4"/>
        <v>9.1880991868104811</v>
      </c>
      <c r="T16">
        <f t="shared" si="5"/>
        <v>0.18630819574472079</v>
      </c>
      <c r="V16" s="50">
        <v>5585.4</v>
      </c>
      <c r="W16" s="50">
        <v>5601.4</v>
      </c>
      <c r="X16">
        <v>4621.833333333333</v>
      </c>
      <c r="Y16" s="50">
        <v>4611</v>
      </c>
      <c r="Z16">
        <v>7005</v>
      </c>
      <c r="AA16" s="50">
        <f t="shared" si="6"/>
        <v>5484.9266666666663</v>
      </c>
      <c r="AB16">
        <f t="shared" si="7"/>
        <v>980.17368200176327</v>
      </c>
      <c r="AC16">
        <f t="shared" si="8"/>
        <v>0.17870315166810435</v>
      </c>
    </row>
    <row r="17" spans="1:29" x14ac:dyDescent="0.35">
      <c r="A17" s="7" t="s">
        <v>35</v>
      </c>
      <c r="B17" t="s">
        <v>115</v>
      </c>
      <c r="D17">
        <v>4</v>
      </c>
      <c r="E17">
        <v>6</v>
      </c>
      <c r="F17">
        <v>4</v>
      </c>
      <c r="G17">
        <v>3</v>
      </c>
      <c r="H17">
        <v>4</v>
      </c>
      <c r="I17">
        <f t="shared" si="0"/>
        <v>4.2</v>
      </c>
      <c r="J17">
        <f t="shared" si="1"/>
        <v>1.0954451150103319</v>
      </c>
      <c r="K17">
        <f t="shared" si="2"/>
        <v>0.26082026547865045</v>
      </c>
      <c r="M17" s="50">
        <v>66</v>
      </c>
      <c r="N17" s="50">
        <v>44</v>
      </c>
      <c r="O17" s="50">
        <v>66</v>
      </c>
      <c r="P17" s="50">
        <v>88</v>
      </c>
      <c r="Q17">
        <v>66</v>
      </c>
      <c r="R17" s="50">
        <f t="shared" si="3"/>
        <v>66</v>
      </c>
      <c r="S17" s="50">
        <f t="shared" si="4"/>
        <v>15.556349186104045</v>
      </c>
      <c r="T17">
        <f t="shared" si="5"/>
        <v>0.23570226039551584</v>
      </c>
      <c r="V17" s="50">
        <v>6943.25</v>
      </c>
      <c r="W17" s="50">
        <v>4532.333333333333</v>
      </c>
      <c r="X17">
        <v>6962</v>
      </c>
      <c r="Y17" s="50">
        <v>9368</v>
      </c>
      <c r="Z17">
        <v>6977.25</v>
      </c>
      <c r="AA17" s="50">
        <f t="shared" si="6"/>
        <v>6956.5666666666657</v>
      </c>
      <c r="AB17">
        <f t="shared" si="7"/>
        <v>1709.7187364121912</v>
      </c>
      <c r="AC17">
        <f t="shared" si="8"/>
        <v>0.24577048109156213</v>
      </c>
    </row>
    <row r="18" spans="1:29" x14ac:dyDescent="0.35">
      <c r="A18" s="7" t="s">
        <v>36</v>
      </c>
      <c r="B18" t="s">
        <v>115</v>
      </c>
      <c r="D18">
        <v>4</v>
      </c>
      <c r="E18">
        <v>4</v>
      </c>
      <c r="F18">
        <v>3</v>
      </c>
      <c r="G18">
        <v>5</v>
      </c>
      <c r="H18">
        <v>4</v>
      </c>
      <c r="I18">
        <f t="shared" si="0"/>
        <v>4</v>
      </c>
      <c r="J18">
        <f t="shared" si="1"/>
        <v>0.70710678118654757</v>
      </c>
      <c r="K18">
        <f t="shared" si="2"/>
        <v>0.17677669529663689</v>
      </c>
      <c r="M18" s="50">
        <v>66.25</v>
      </c>
      <c r="N18" s="50">
        <v>66.25</v>
      </c>
      <c r="O18" s="50">
        <v>88.333333333333329</v>
      </c>
      <c r="P18" s="50">
        <v>53</v>
      </c>
      <c r="Q18">
        <v>66.25</v>
      </c>
      <c r="R18" s="50">
        <f t="shared" si="3"/>
        <v>68.458333333333329</v>
      </c>
      <c r="S18" s="50">
        <f t="shared" si="4"/>
        <v>12.724293256951043</v>
      </c>
      <c r="T18">
        <f t="shared" si="5"/>
        <v>0.18586916504371578</v>
      </c>
      <c r="V18" s="50">
        <v>7120.75</v>
      </c>
      <c r="W18" s="50">
        <v>7054.25</v>
      </c>
      <c r="X18">
        <v>9535.6666666666661</v>
      </c>
      <c r="Y18" s="50">
        <v>5544</v>
      </c>
      <c r="Z18">
        <v>7064</v>
      </c>
      <c r="AA18" s="50">
        <f t="shared" si="6"/>
        <v>7263.7333333333327</v>
      </c>
      <c r="AB18">
        <f t="shared" si="7"/>
        <v>1433.8222269417627</v>
      </c>
      <c r="AC18">
        <f t="shared" si="8"/>
        <v>0.19739466761010355</v>
      </c>
    </row>
    <row r="19" spans="1:29" x14ac:dyDescent="0.35">
      <c r="A19" s="7" t="s">
        <v>37</v>
      </c>
      <c r="B19" t="s">
        <v>115</v>
      </c>
      <c r="D19">
        <v>6</v>
      </c>
      <c r="E19">
        <v>6</v>
      </c>
      <c r="F19">
        <v>7</v>
      </c>
      <c r="G19">
        <v>8</v>
      </c>
      <c r="H19">
        <v>6</v>
      </c>
      <c r="I19">
        <f t="shared" si="0"/>
        <v>6.6</v>
      </c>
      <c r="J19">
        <f t="shared" si="1"/>
        <v>0.8944271909999143</v>
      </c>
      <c r="K19">
        <f t="shared" si="2"/>
        <v>0.13551927136362338</v>
      </c>
      <c r="M19" s="50">
        <v>42.166666666666657</v>
      </c>
      <c r="N19" s="50">
        <v>42.166666666666657</v>
      </c>
      <c r="O19" s="50">
        <v>36.142857142857153</v>
      </c>
      <c r="P19" s="50">
        <v>31.625</v>
      </c>
      <c r="Q19">
        <v>42.166666666666657</v>
      </c>
      <c r="R19" s="50">
        <f t="shared" si="3"/>
        <v>38.02529761904762</v>
      </c>
      <c r="S19" s="50">
        <f t="shared" si="4"/>
        <v>4.8096262070664402</v>
      </c>
      <c r="T19">
        <f t="shared" si="5"/>
        <v>0.1264849063181876</v>
      </c>
      <c r="V19" s="50">
        <v>4363.166666666667</v>
      </c>
      <c r="W19" s="50">
        <v>4373.166666666667</v>
      </c>
      <c r="X19">
        <v>3734.571428571428</v>
      </c>
      <c r="Y19" s="50">
        <v>3261</v>
      </c>
      <c r="Z19">
        <v>4363.5</v>
      </c>
      <c r="AA19" s="50">
        <f t="shared" si="6"/>
        <v>4019.0809523809526</v>
      </c>
      <c r="AB19">
        <f t="shared" si="7"/>
        <v>504.4870047138607</v>
      </c>
      <c r="AC19">
        <f t="shared" si="8"/>
        <v>0.12552297669321552</v>
      </c>
    </row>
    <row r="20" spans="1:29" x14ac:dyDescent="0.35">
      <c r="A20" s="7" t="s">
        <v>38</v>
      </c>
      <c r="B20" t="s">
        <v>115</v>
      </c>
      <c r="D20">
        <v>7</v>
      </c>
      <c r="E20">
        <v>7</v>
      </c>
      <c r="F20">
        <v>6</v>
      </c>
      <c r="G20">
        <v>6</v>
      </c>
      <c r="H20">
        <v>7</v>
      </c>
      <c r="I20">
        <f t="shared" si="0"/>
        <v>6.6</v>
      </c>
      <c r="J20">
        <f t="shared" si="1"/>
        <v>0.54772255750516619</v>
      </c>
      <c r="K20">
        <f t="shared" si="2"/>
        <v>8.2988266288661544E-2</v>
      </c>
      <c r="M20" s="50">
        <v>38.428571428571431</v>
      </c>
      <c r="N20" s="50">
        <v>38.428571428571431</v>
      </c>
      <c r="O20" s="50">
        <v>44.833333333333343</v>
      </c>
      <c r="P20" s="50">
        <v>44.833333333333343</v>
      </c>
      <c r="Q20">
        <v>38.428571428571431</v>
      </c>
      <c r="R20" s="50">
        <f t="shared" si="3"/>
        <v>41.630952380952387</v>
      </c>
      <c r="S20" s="50">
        <f t="shared" si="4"/>
        <v>3.5080325706878539</v>
      </c>
      <c r="T20">
        <f t="shared" si="5"/>
        <v>8.4265008846948722E-2</v>
      </c>
      <c r="V20" s="50">
        <v>3995.2857142857142</v>
      </c>
      <c r="W20" s="50">
        <v>4054.1428571428569</v>
      </c>
      <c r="X20">
        <v>4734</v>
      </c>
      <c r="Y20" s="50">
        <v>4740</v>
      </c>
      <c r="Z20">
        <v>4006.428571428572</v>
      </c>
      <c r="AA20" s="50">
        <f t="shared" si="6"/>
        <v>4305.971428571429</v>
      </c>
      <c r="AB20">
        <f t="shared" si="7"/>
        <v>394.09974133770874</v>
      </c>
      <c r="AC20">
        <f t="shared" si="8"/>
        <v>9.1524002858620279E-2</v>
      </c>
    </row>
    <row r="21" spans="1:29" x14ac:dyDescent="0.35">
      <c r="A21" s="7" t="s">
        <v>39</v>
      </c>
      <c r="B21" t="s">
        <v>115</v>
      </c>
      <c r="D21">
        <v>5</v>
      </c>
      <c r="E21">
        <v>5</v>
      </c>
      <c r="F21">
        <v>5</v>
      </c>
      <c r="G21">
        <v>4</v>
      </c>
      <c r="H21">
        <v>5</v>
      </c>
      <c r="I21">
        <f t="shared" si="0"/>
        <v>4.8</v>
      </c>
      <c r="J21">
        <f t="shared" si="1"/>
        <v>0.44721359549995793</v>
      </c>
      <c r="K21">
        <f t="shared" si="2"/>
        <v>9.3169499062491237E-2</v>
      </c>
      <c r="M21" s="50">
        <v>53.4</v>
      </c>
      <c r="N21" s="50">
        <v>53.4</v>
      </c>
      <c r="O21" s="50">
        <v>53.4</v>
      </c>
      <c r="P21" s="50">
        <v>66.75</v>
      </c>
      <c r="Q21">
        <v>53.4</v>
      </c>
      <c r="R21" s="50">
        <f t="shared" si="3"/>
        <v>56.737499999999997</v>
      </c>
      <c r="S21" s="50">
        <f t="shared" si="4"/>
        <v>5.9703014999244388</v>
      </c>
      <c r="T21">
        <f t="shared" si="5"/>
        <v>0.10522672835293129</v>
      </c>
      <c r="V21" s="50">
        <v>5414.4</v>
      </c>
      <c r="W21" s="50">
        <v>5419.8</v>
      </c>
      <c r="X21">
        <v>5424.4</v>
      </c>
      <c r="Y21" s="50">
        <v>6840.25</v>
      </c>
      <c r="Z21">
        <v>5430</v>
      </c>
      <c r="AA21" s="50">
        <f t="shared" si="6"/>
        <v>5705.7699999999995</v>
      </c>
      <c r="AB21">
        <f t="shared" si="7"/>
        <v>634.21966975173518</v>
      </c>
      <c r="AC21">
        <f t="shared" si="8"/>
        <v>0.11115408958856302</v>
      </c>
    </row>
    <row r="22" spans="1:29" x14ac:dyDescent="0.35">
      <c r="A22" s="7" t="s">
        <v>40</v>
      </c>
      <c r="B22" t="s">
        <v>115</v>
      </c>
      <c r="D22">
        <v>4</v>
      </c>
      <c r="E22">
        <v>3</v>
      </c>
      <c r="F22">
        <v>4</v>
      </c>
      <c r="G22">
        <v>3</v>
      </c>
      <c r="H22">
        <v>4</v>
      </c>
      <c r="I22">
        <f t="shared" si="0"/>
        <v>3.6</v>
      </c>
      <c r="J22">
        <f t="shared" si="1"/>
        <v>0.54772255750516674</v>
      </c>
      <c r="K22">
        <f t="shared" si="2"/>
        <v>0.15214515486254632</v>
      </c>
      <c r="M22" s="50">
        <v>65.25</v>
      </c>
      <c r="N22" s="50">
        <v>87</v>
      </c>
      <c r="O22" s="50">
        <v>65.25</v>
      </c>
      <c r="P22" s="50">
        <v>87</v>
      </c>
      <c r="Q22">
        <v>65.25</v>
      </c>
      <c r="R22" s="50">
        <f t="shared" si="3"/>
        <v>76.125</v>
      </c>
      <c r="S22" s="50">
        <f t="shared" si="4"/>
        <v>11.912965625737355</v>
      </c>
      <c r="T22">
        <f t="shared" si="5"/>
        <v>0.15649215928719021</v>
      </c>
      <c r="V22" s="50">
        <v>6928.25</v>
      </c>
      <c r="W22" s="50">
        <v>9784.3333333333339</v>
      </c>
      <c r="X22">
        <v>6761.25</v>
      </c>
      <c r="Y22" s="50">
        <v>9775</v>
      </c>
      <c r="Z22">
        <v>6935.25</v>
      </c>
      <c r="AA22" s="50">
        <f t="shared" si="6"/>
        <v>8036.8166666666675</v>
      </c>
      <c r="AB22">
        <f t="shared" si="7"/>
        <v>1592.524355953638</v>
      </c>
      <c r="AC22">
        <f t="shared" si="8"/>
        <v>0.19815362499915651</v>
      </c>
    </row>
    <row r="23" spans="1:29" x14ac:dyDescent="0.35">
      <c r="A23" s="7" t="s">
        <v>41</v>
      </c>
      <c r="B23" t="s">
        <v>115</v>
      </c>
      <c r="D23">
        <v>4</v>
      </c>
      <c r="E23">
        <v>4</v>
      </c>
      <c r="F23">
        <v>5</v>
      </c>
      <c r="G23">
        <v>5</v>
      </c>
      <c r="H23">
        <v>5</v>
      </c>
      <c r="I23">
        <f t="shared" si="0"/>
        <v>4.5999999999999996</v>
      </c>
      <c r="J23">
        <f t="shared" si="1"/>
        <v>0.54772255750516674</v>
      </c>
      <c r="K23">
        <f t="shared" si="2"/>
        <v>0.11907012119677539</v>
      </c>
      <c r="M23" s="50">
        <v>66.25</v>
      </c>
      <c r="N23" s="50">
        <v>66.25</v>
      </c>
      <c r="O23" s="50">
        <v>53</v>
      </c>
      <c r="P23" s="50">
        <v>53</v>
      </c>
      <c r="Q23">
        <v>53</v>
      </c>
      <c r="R23" s="50">
        <f t="shared" si="3"/>
        <v>59.625</v>
      </c>
      <c r="S23" s="50">
        <f t="shared" si="4"/>
        <v>7.2573238869434382</v>
      </c>
      <c r="T23">
        <f t="shared" si="5"/>
        <v>0.12171612389003671</v>
      </c>
      <c r="V23" s="50">
        <v>7054</v>
      </c>
      <c r="W23" s="50">
        <v>7064.5</v>
      </c>
      <c r="X23">
        <v>5589.4</v>
      </c>
      <c r="Y23" s="50">
        <v>5584</v>
      </c>
      <c r="Z23">
        <v>5585.8</v>
      </c>
      <c r="AA23" s="50">
        <f t="shared" si="6"/>
        <v>6175.54</v>
      </c>
      <c r="AB23">
        <f t="shared" si="7"/>
        <v>806.72405319291113</v>
      </c>
      <c r="AC23">
        <f t="shared" si="8"/>
        <v>0.13063214766529099</v>
      </c>
    </row>
    <row r="24" spans="1:29" x14ac:dyDescent="0.35">
      <c r="A24" s="7" t="s">
        <v>42</v>
      </c>
      <c r="B24" t="s">
        <v>115</v>
      </c>
      <c r="D24">
        <v>4</v>
      </c>
      <c r="E24">
        <v>4</v>
      </c>
      <c r="F24">
        <v>4</v>
      </c>
      <c r="G24">
        <v>4</v>
      </c>
      <c r="H24">
        <v>4</v>
      </c>
      <c r="I24">
        <f t="shared" si="0"/>
        <v>4</v>
      </c>
      <c r="J24">
        <f t="shared" si="1"/>
        <v>0</v>
      </c>
      <c r="K24">
        <f t="shared" si="2"/>
        <v>0</v>
      </c>
      <c r="M24" s="50">
        <v>60.25</v>
      </c>
      <c r="N24" s="50">
        <v>60.25</v>
      </c>
      <c r="O24" s="50">
        <v>60.25</v>
      </c>
      <c r="P24" s="50">
        <v>60.25</v>
      </c>
      <c r="Q24">
        <v>60.25</v>
      </c>
      <c r="R24" s="50">
        <f t="shared" si="3"/>
        <v>60.25</v>
      </c>
      <c r="S24" s="50">
        <f t="shared" si="4"/>
        <v>0</v>
      </c>
      <c r="T24">
        <f t="shared" si="5"/>
        <v>0</v>
      </c>
      <c r="V24" s="50">
        <v>6371.25</v>
      </c>
      <c r="W24" s="50">
        <v>6388.75</v>
      </c>
      <c r="X24">
        <v>6333</v>
      </c>
      <c r="Y24" s="50">
        <v>6362.75</v>
      </c>
      <c r="Z24">
        <v>6406.5</v>
      </c>
      <c r="AA24" s="50">
        <f t="shared" si="6"/>
        <v>6372.45</v>
      </c>
      <c r="AB24">
        <f t="shared" si="7"/>
        <v>27.735018478450669</v>
      </c>
      <c r="AC24">
        <f t="shared" si="8"/>
        <v>4.3523320667012951E-3</v>
      </c>
    </row>
    <row r="25" spans="1:29" x14ac:dyDescent="0.35">
      <c r="A25" s="7" t="s">
        <v>43</v>
      </c>
      <c r="B25" t="s">
        <v>115</v>
      </c>
      <c r="D25">
        <v>7</v>
      </c>
      <c r="E25">
        <v>9</v>
      </c>
      <c r="F25">
        <v>8</v>
      </c>
      <c r="G25">
        <v>9</v>
      </c>
      <c r="H25">
        <v>8</v>
      </c>
      <c r="I25">
        <f t="shared" si="0"/>
        <v>8.1999999999999993</v>
      </c>
      <c r="J25">
        <f t="shared" si="1"/>
        <v>0.83666002653407556</v>
      </c>
      <c r="K25">
        <f t="shared" si="2"/>
        <v>0.10203171055293606</v>
      </c>
      <c r="M25" s="50">
        <v>37.857142857142847</v>
      </c>
      <c r="N25" s="50">
        <v>29.444444444444439</v>
      </c>
      <c r="O25" s="50">
        <v>33.125</v>
      </c>
      <c r="P25" s="50">
        <v>29.444444444444439</v>
      </c>
      <c r="Q25">
        <v>33.125</v>
      </c>
      <c r="R25" s="50">
        <f t="shared" si="3"/>
        <v>32.46775793650793</v>
      </c>
      <c r="S25" s="50">
        <f t="shared" si="4"/>
        <v>3.4678473005380179</v>
      </c>
      <c r="T25">
        <f t="shared" si="5"/>
        <v>0.10680895512771592</v>
      </c>
      <c r="V25" s="50">
        <v>3924.7142857142858</v>
      </c>
      <c r="W25" s="50">
        <v>3033.666666666667</v>
      </c>
      <c r="X25">
        <v>3427.375</v>
      </c>
      <c r="Y25" s="50">
        <v>3038.2222222222222</v>
      </c>
      <c r="Z25">
        <v>3426</v>
      </c>
      <c r="AA25" s="50">
        <f t="shared" si="6"/>
        <v>3369.9956349206345</v>
      </c>
      <c r="AB25">
        <f t="shared" si="7"/>
        <v>366.51481356266908</v>
      </c>
      <c r="AC25">
        <f t="shared" si="8"/>
        <v>0.10875824578665982</v>
      </c>
    </row>
    <row r="26" spans="1:29" x14ac:dyDescent="0.35">
      <c r="A26" s="7" t="s">
        <v>44</v>
      </c>
      <c r="B26" t="s">
        <v>115</v>
      </c>
      <c r="D26">
        <v>5</v>
      </c>
      <c r="E26">
        <v>4</v>
      </c>
      <c r="F26">
        <v>4</v>
      </c>
      <c r="G26">
        <v>4</v>
      </c>
      <c r="H26">
        <v>5</v>
      </c>
      <c r="I26">
        <f t="shared" si="0"/>
        <v>4.4000000000000004</v>
      </c>
      <c r="J26">
        <f t="shared" si="1"/>
        <v>0.54772255750516674</v>
      </c>
      <c r="K26">
        <f t="shared" si="2"/>
        <v>0.12448239943299243</v>
      </c>
      <c r="M26" s="50">
        <v>45.2</v>
      </c>
      <c r="N26" s="50">
        <v>56.5</v>
      </c>
      <c r="O26" s="50">
        <v>56.5</v>
      </c>
      <c r="P26" s="50">
        <v>56.5</v>
      </c>
      <c r="Q26">
        <v>45.2</v>
      </c>
      <c r="R26" s="50">
        <f t="shared" si="3"/>
        <v>53.674999999999997</v>
      </c>
      <c r="S26" s="50">
        <f t="shared" si="4"/>
        <v>6.1892648998084336</v>
      </c>
      <c r="T26">
        <f t="shared" si="5"/>
        <v>0.11531001210635182</v>
      </c>
      <c r="V26" s="50">
        <v>4314.6000000000004</v>
      </c>
      <c r="W26" s="50">
        <v>5420</v>
      </c>
      <c r="X26">
        <v>5469.75</v>
      </c>
      <c r="Y26" s="50">
        <v>5505</v>
      </c>
      <c r="Z26">
        <v>4333.2</v>
      </c>
      <c r="AA26" s="50">
        <f t="shared" si="6"/>
        <v>5008.51</v>
      </c>
      <c r="AB26">
        <f t="shared" si="7"/>
        <v>625.72425276634499</v>
      </c>
      <c r="AC26">
        <f t="shared" si="8"/>
        <v>0.12493221592177015</v>
      </c>
    </row>
    <row r="27" spans="1:29" x14ac:dyDescent="0.35">
      <c r="A27" s="7" t="s">
        <v>45</v>
      </c>
      <c r="B27" t="s">
        <v>115</v>
      </c>
      <c r="D27">
        <v>3</v>
      </c>
      <c r="E27">
        <v>3</v>
      </c>
      <c r="F27">
        <v>3</v>
      </c>
      <c r="G27">
        <v>3</v>
      </c>
      <c r="H27">
        <v>3</v>
      </c>
      <c r="I27">
        <f t="shared" si="0"/>
        <v>3</v>
      </c>
      <c r="J27">
        <f t="shared" si="1"/>
        <v>0</v>
      </c>
      <c r="K27">
        <f t="shared" si="2"/>
        <v>0</v>
      </c>
      <c r="M27" s="50">
        <v>83.333333333333329</v>
      </c>
      <c r="N27" s="50">
        <v>83.333333333333329</v>
      </c>
      <c r="O27" s="50">
        <v>83.333333333333329</v>
      </c>
      <c r="P27" s="50">
        <v>83.333333333333329</v>
      </c>
      <c r="Q27">
        <v>83.333333333333329</v>
      </c>
      <c r="R27" s="50">
        <f t="shared" si="3"/>
        <v>83.333333333333329</v>
      </c>
      <c r="S27" s="50">
        <f t="shared" si="4"/>
        <v>0</v>
      </c>
      <c r="T27">
        <f t="shared" si="5"/>
        <v>0</v>
      </c>
      <c r="V27" s="50">
        <v>9007</v>
      </c>
      <c r="W27" s="50">
        <v>9058</v>
      </c>
      <c r="X27">
        <v>9061.6666666666661</v>
      </c>
      <c r="Y27" s="50">
        <v>9055</v>
      </c>
      <c r="Z27">
        <v>9019.3333333333339</v>
      </c>
      <c r="AA27" s="50">
        <f t="shared" si="6"/>
        <v>9040.2000000000007</v>
      </c>
      <c r="AB27">
        <f t="shared" si="7"/>
        <v>25.171191646183061</v>
      </c>
      <c r="AC27">
        <f t="shared" si="8"/>
        <v>2.7843622537314506E-3</v>
      </c>
    </row>
    <row r="28" spans="1:29" x14ac:dyDescent="0.35">
      <c r="A28" s="7" t="s">
        <v>46</v>
      </c>
      <c r="B28" t="s">
        <v>115</v>
      </c>
      <c r="D28">
        <v>5</v>
      </c>
      <c r="E28">
        <v>5</v>
      </c>
      <c r="F28">
        <v>5</v>
      </c>
      <c r="G28">
        <v>4</v>
      </c>
      <c r="H28">
        <v>5</v>
      </c>
      <c r="I28">
        <f t="shared" si="0"/>
        <v>4.8</v>
      </c>
      <c r="J28">
        <f t="shared" si="1"/>
        <v>0.44721359549995793</v>
      </c>
      <c r="K28">
        <f t="shared" si="2"/>
        <v>9.3169499062491237E-2</v>
      </c>
      <c r="M28" s="50">
        <v>45.2</v>
      </c>
      <c r="N28" s="50">
        <v>45.2</v>
      </c>
      <c r="O28" s="50">
        <v>45.2</v>
      </c>
      <c r="P28" s="50">
        <v>56.5</v>
      </c>
      <c r="Q28">
        <v>45.2</v>
      </c>
      <c r="R28" s="50">
        <f t="shared" si="3"/>
        <v>48.025000000000006</v>
      </c>
      <c r="S28" s="50">
        <f t="shared" si="4"/>
        <v>5.0535136291495233</v>
      </c>
      <c r="T28">
        <f t="shared" si="5"/>
        <v>0.10522672835293123</v>
      </c>
      <c r="V28" s="50">
        <v>4293.2</v>
      </c>
      <c r="W28" s="50">
        <v>4290.6000000000004</v>
      </c>
      <c r="X28">
        <v>4260.6000000000004</v>
      </c>
      <c r="Y28" s="50">
        <v>5372.5</v>
      </c>
      <c r="Z28">
        <v>4268.8</v>
      </c>
      <c r="AA28" s="50">
        <f t="shared" si="6"/>
        <v>4497.1400000000003</v>
      </c>
      <c r="AB28">
        <f t="shared" si="7"/>
        <v>489.53951628035088</v>
      </c>
      <c r="AC28">
        <f t="shared" si="8"/>
        <v>0.10885574304565809</v>
      </c>
    </row>
    <row r="29" spans="1:29" x14ac:dyDescent="0.35">
      <c r="A29" s="7" t="s">
        <v>47</v>
      </c>
      <c r="B29" t="s">
        <v>115</v>
      </c>
      <c r="D29">
        <v>6</v>
      </c>
      <c r="E29">
        <v>4</v>
      </c>
      <c r="F29">
        <v>3</v>
      </c>
      <c r="G29">
        <v>5</v>
      </c>
      <c r="H29">
        <v>4</v>
      </c>
      <c r="I29">
        <f t="shared" si="0"/>
        <v>4.4000000000000004</v>
      </c>
      <c r="J29">
        <f t="shared" si="1"/>
        <v>1.1401754250991383</v>
      </c>
      <c r="K29">
        <f t="shared" si="2"/>
        <v>0.2591307784316223</v>
      </c>
      <c r="M29" s="50">
        <v>38.833333333333343</v>
      </c>
      <c r="N29" s="50">
        <v>58.25</v>
      </c>
      <c r="O29" s="50">
        <v>77.666666666666671</v>
      </c>
      <c r="P29" s="50">
        <v>46.6</v>
      </c>
      <c r="Q29">
        <v>58.25</v>
      </c>
      <c r="R29" s="50">
        <f t="shared" si="3"/>
        <v>55.337499999999999</v>
      </c>
      <c r="S29" s="50">
        <f t="shared" si="4"/>
        <v>14.684957344923449</v>
      </c>
      <c r="T29">
        <f t="shared" si="5"/>
        <v>0.26537081264826651</v>
      </c>
      <c r="V29" s="50">
        <v>3728.333333333333</v>
      </c>
      <c r="W29" s="50">
        <v>5678.75</v>
      </c>
      <c r="X29">
        <v>7631.666666666667</v>
      </c>
      <c r="Y29" s="50">
        <v>4500.6000000000004</v>
      </c>
      <c r="Z29">
        <v>5660.75</v>
      </c>
      <c r="AA29" s="50">
        <f t="shared" si="6"/>
        <v>5440.0199999999995</v>
      </c>
      <c r="AB29">
        <f t="shared" si="7"/>
        <v>1476.6016760246789</v>
      </c>
      <c r="AC29">
        <f t="shared" si="8"/>
        <v>0.27143313370625088</v>
      </c>
    </row>
    <row r="30" spans="1:29" x14ac:dyDescent="0.35">
      <c r="A30" s="7" t="s">
        <v>48</v>
      </c>
      <c r="B30" t="s">
        <v>115</v>
      </c>
      <c r="D30">
        <v>6</v>
      </c>
      <c r="E30">
        <v>8</v>
      </c>
      <c r="F30">
        <v>7</v>
      </c>
      <c r="G30">
        <v>4</v>
      </c>
      <c r="H30">
        <v>5</v>
      </c>
      <c r="I30">
        <f t="shared" si="0"/>
        <v>6</v>
      </c>
      <c r="J30">
        <f t="shared" si="1"/>
        <v>1.5811388300841898</v>
      </c>
      <c r="K30">
        <f t="shared" si="2"/>
        <v>0.26352313834736496</v>
      </c>
      <c r="M30" s="50">
        <v>39.666666666666657</v>
      </c>
      <c r="N30" s="50">
        <v>29.75</v>
      </c>
      <c r="O30" s="50">
        <v>34</v>
      </c>
      <c r="P30" s="50">
        <v>59.5</v>
      </c>
      <c r="Q30">
        <v>47.6</v>
      </c>
      <c r="R30" s="50">
        <f t="shared" si="3"/>
        <v>40.729166666666664</v>
      </c>
      <c r="S30" s="50">
        <f t="shared" si="4"/>
        <v>11.801096935831392</v>
      </c>
      <c r="T30">
        <f t="shared" si="5"/>
        <v>0.28974560251657638</v>
      </c>
      <c r="V30" s="50">
        <v>3665.333333333333</v>
      </c>
      <c r="W30" s="50">
        <v>2759.125</v>
      </c>
      <c r="X30">
        <v>3164.1428571428569</v>
      </c>
      <c r="Y30" s="50">
        <v>5622</v>
      </c>
      <c r="Z30">
        <v>4428</v>
      </c>
      <c r="AA30" s="50">
        <f t="shared" si="6"/>
        <v>3927.7202380952381</v>
      </c>
      <c r="AB30">
        <f t="shared" si="7"/>
        <v>1133.3992993163349</v>
      </c>
      <c r="AC30">
        <f t="shared" si="8"/>
        <v>0.28856416206108942</v>
      </c>
    </row>
    <row r="31" spans="1:29" x14ac:dyDescent="0.35">
      <c r="A31" s="7" t="s">
        <v>49</v>
      </c>
      <c r="B31" t="s">
        <v>115</v>
      </c>
      <c r="D31">
        <v>6</v>
      </c>
      <c r="E31">
        <v>4</v>
      </c>
      <c r="F31">
        <v>4</v>
      </c>
      <c r="G31">
        <v>5</v>
      </c>
      <c r="H31">
        <v>4</v>
      </c>
      <c r="I31">
        <f t="shared" si="0"/>
        <v>4.5999999999999996</v>
      </c>
      <c r="J31">
        <f t="shared" si="1"/>
        <v>0.8944271909999163</v>
      </c>
      <c r="K31">
        <f t="shared" si="2"/>
        <v>0.19444069369563399</v>
      </c>
      <c r="M31" s="50">
        <v>43.666666666666657</v>
      </c>
      <c r="N31" s="50">
        <v>65.5</v>
      </c>
      <c r="O31" s="50">
        <v>65.5</v>
      </c>
      <c r="P31" s="50">
        <v>52.4</v>
      </c>
      <c r="Q31">
        <v>65.5</v>
      </c>
      <c r="R31" s="50">
        <f t="shared" si="3"/>
        <v>56.766666666666666</v>
      </c>
      <c r="S31" s="50">
        <f t="shared" si="4"/>
        <v>10.0528216050133</v>
      </c>
      <c r="T31">
        <f t="shared" si="5"/>
        <v>0.17709022204955902</v>
      </c>
      <c r="V31" s="50">
        <v>4431.833333333333</v>
      </c>
      <c r="W31" s="50">
        <v>6676</v>
      </c>
      <c r="X31">
        <v>6787.75</v>
      </c>
      <c r="Y31" s="50">
        <v>5348.8</v>
      </c>
      <c r="Z31">
        <v>6757.5</v>
      </c>
      <c r="AA31" s="50">
        <f t="shared" si="6"/>
        <v>6000.3766666666661</v>
      </c>
      <c r="AB31">
        <f t="shared" si="7"/>
        <v>1064.7229378523273</v>
      </c>
      <c r="AC31">
        <f t="shared" si="8"/>
        <v>0.17744268351803372</v>
      </c>
    </row>
    <row r="32" spans="1:29" x14ac:dyDescent="0.35">
      <c r="A32" s="7" t="s">
        <v>50</v>
      </c>
      <c r="B32" t="s">
        <v>115</v>
      </c>
      <c r="D32">
        <v>4</v>
      </c>
      <c r="E32">
        <v>7</v>
      </c>
      <c r="F32">
        <v>6</v>
      </c>
      <c r="G32">
        <v>6</v>
      </c>
      <c r="H32">
        <v>5</v>
      </c>
      <c r="I32">
        <f t="shared" si="0"/>
        <v>5.6</v>
      </c>
      <c r="J32">
        <f t="shared" si="1"/>
        <v>1.1401754250991367</v>
      </c>
      <c r="K32">
        <f t="shared" si="2"/>
        <v>0.20360275448198872</v>
      </c>
      <c r="M32" s="50">
        <v>65.75</v>
      </c>
      <c r="N32" s="50">
        <v>37.571428571428569</v>
      </c>
      <c r="O32" s="50">
        <v>43.833333333333343</v>
      </c>
      <c r="P32" s="50">
        <v>43.833333333333343</v>
      </c>
      <c r="Q32">
        <v>52.6</v>
      </c>
      <c r="R32" s="50">
        <f t="shared" si="3"/>
        <v>47.747023809523817</v>
      </c>
      <c r="S32" s="50">
        <f t="shared" si="4"/>
        <v>10.921594878673957</v>
      </c>
      <c r="T32">
        <f t="shared" si="5"/>
        <v>0.22873875704260108</v>
      </c>
      <c r="V32" s="50">
        <v>6713.25</v>
      </c>
      <c r="W32" s="50">
        <v>3789.7142857142858</v>
      </c>
      <c r="X32">
        <v>4436.333333333333</v>
      </c>
      <c r="Y32" s="50">
        <v>4409.5</v>
      </c>
      <c r="Z32">
        <v>5303</v>
      </c>
      <c r="AA32" s="50">
        <f t="shared" si="6"/>
        <v>4930.359523809524</v>
      </c>
      <c r="AB32">
        <f t="shared" si="7"/>
        <v>1132.9152058070169</v>
      </c>
      <c r="AC32">
        <f t="shared" si="8"/>
        <v>0.22978348745887223</v>
      </c>
    </row>
    <row r="33" spans="1:29" x14ac:dyDescent="0.35">
      <c r="A33" s="7" t="s">
        <v>51</v>
      </c>
      <c r="B33" t="s">
        <v>115</v>
      </c>
      <c r="D33">
        <v>4</v>
      </c>
      <c r="E33">
        <v>5</v>
      </c>
      <c r="F33">
        <v>5</v>
      </c>
      <c r="G33">
        <v>4</v>
      </c>
      <c r="H33">
        <v>5</v>
      </c>
      <c r="I33">
        <f t="shared" si="0"/>
        <v>4.5999999999999996</v>
      </c>
      <c r="J33">
        <f t="shared" si="1"/>
        <v>0.54772255750516674</v>
      </c>
      <c r="K33">
        <f t="shared" si="2"/>
        <v>0.11907012119677539</v>
      </c>
      <c r="M33" s="50">
        <v>67.25</v>
      </c>
      <c r="N33" s="50">
        <v>53.8</v>
      </c>
      <c r="O33" s="50">
        <v>53.8</v>
      </c>
      <c r="P33" s="50">
        <v>67.25</v>
      </c>
      <c r="Q33">
        <v>53.8</v>
      </c>
      <c r="R33" s="50">
        <f t="shared" si="3"/>
        <v>60.524999999999999</v>
      </c>
      <c r="S33" s="50">
        <f t="shared" si="4"/>
        <v>7.3668683984445238</v>
      </c>
      <c r="T33">
        <f t="shared" si="5"/>
        <v>0.12171612389003757</v>
      </c>
      <c r="V33" s="50">
        <v>6965.5</v>
      </c>
      <c r="W33" s="50">
        <v>5539.6</v>
      </c>
      <c r="X33">
        <v>5499.6</v>
      </c>
      <c r="Y33" s="50">
        <v>6916</v>
      </c>
      <c r="Z33">
        <v>5485.4</v>
      </c>
      <c r="AA33" s="50">
        <f t="shared" si="6"/>
        <v>6081.2199999999993</v>
      </c>
      <c r="AB33">
        <f t="shared" si="7"/>
        <v>785.08666527970297</v>
      </c>
      <c r="AC33">
        <f t="shared" si="8"/>
        <v>0.12910019129051459</v>
      </c>
    </row>
    <row r="34" spans="1:29" x14ac:dyDescent="0.35">
      <c r="A34" s="7" t="s">
        <v>52</v>
      </c>
      <c r="B34" t="s">
        <v>115</v>
      </c>
      <c r="D34">
        <v>7</v>
      </c>
      <c r="E34">
        <v>7</v>
      </c>
      <c r="F34">
        <v>8</v>
      </c>
      <c r="G34">
        <v>6</v>
      </c>
      <c r="H34">
        <v>8</v>
      </c>
      <c r="I34">
        <f t="shared" si="0"/>
        <v>7.2</v>
      </c>
      <c r="J34">
        <f t="shared" si="1"/>
        <v>0.83666002653407723</v>
      </c>
      <c r="K34">
        <f t="shared" si="2"/>
        <v>0.11620278146306628</v>
      </c>
      <c r="M34" s="50">
        <v>38</v>
      </c>
      <c r="N34" s="50">
        <v>38</v>
      </c>
      <c r="O34" s="50">
        <v>33.25</v>
      </c>
      <c r="P34" s="50">
        <v>44.333333333333343</v>
      </c>
      <c r="Q34">
        <v>33.25</v>
      </c>
      <c r="R34" s="50">
        <f t="shared" si="3"/>
        <v>38.395833333333336</v>
      </c>
      <c r="S34" s="50">
        <f t="shared" si="4"/>
        <v>4.5615390921145202</v>
      </c>
      <c r="T34">
        <f t="shared" si="5"/>
        <v>0.11880297147124089</v>
      </c>
      <c r="V34" s="50">
        <v>3773.8571428571431</v>
      </c>
      <c r="W34" s="50">
        <v>3753.428571428572</v>
      </c>
      <c r="X34">
        <v>3279.625</v>
      </c>
      <c r="Y34" s="50">
        <v>4384.5</v>
      </c>
      <c r="Z34">
        <v>3305</v>
      </c>
      <c r="AA34" s="50">
        <f t="shared" si="6"/>
        <v>3699.2821428571433</v>
      </c>
      <c r="AB34">
        <f t="shared" si="7"/>
        <v>449.88534756827517</v>
      </c>
      <c r="AC34">
        <f t="shared" si="8"/>
        <v>0.12161422951665046</v>
      </c>
    </row>
    <row r="35" spans="1:29" x14ac:dyDescent="0.35">
      <c r="A35" s="7" t="s">
        <v>53</v>
      </c>
      <c r="B35" t="s">
        <v>116</v>
      </c>
      <c r="D35">
        <v>3</v>
      </c>
      <c r="E35">
        <v>3</v>
      </c>
      <c r="F35">
        <v>3</v>
      </c>
      <c r="G35">
        <v>3</v>
      </c>
      <c r="H35">
        <v>3</v>
      </c>
      <c r="I35">
        <f t="shared" si="0"/>
        <v>3</v>
      </c>
      <c r="J35">
        <f t="shared" si="1"/>
        <v>0</v>
      </c>
      <c r="K35">
        <f t="shared" si="2"/>
        <v>0</v>
      </c>
      <c r="M35" s="50">
        <v>56.333333333333343</v>
      </c>
      <c r="N35" s="50">
        <v>56.333333333333343</v>
      </c>
      <c r="O35" s="50">
        <v>56.333333333333343</v>
      </c>
      <c r="P35" s="50">
        <v>56.333333333333343</v>
      </c>
      <c r="Q35">
        <v>56.333333333333343</v>
      </c>
      <c r="R35" s="50">
        <f t="shared" si="3"/>
        <v>56.333333333333343</v>
      </c>
      <c r="S35" s="50">
        <f t="shared" si="4"/>
        <v>7.944109290391274E-15</v>
      </c>
      <c r="T35">
        <f t="shared" si="5"/>
        <v>1.4101969154540721E-16</v>
      </c>
      <c r="V35" s="50">
        <v>35113.333333333343</v>
      </c>
      <c r="W35" s="50">
        <v>35925</v>
      </c>
      <c r="X35">
        <v>35720</v>
      </c>
      <c r="Y35" s="50">
        <v>35079</v>
      </c>
      <c r="Z35">
        <v>35787.666666666657</v>
      </c>
      <c r="AA35" s="50">
        <f t="shared" si="6"/>
        <v>35525</v>
      </c>
      <c r="AB35">
        <f t="shared" si="7"/>
        <v>398.56123187730174</v>
      </c>
      <c r="AC35">
        <f t="shared" si="8"/>
        <v>1.121917612603242E-2</v>
      </c>
    </row>
    <row r="36" spans="1:29" x14ac:dyDescent="0.35">
      <c r="A36" s="7" t="s">
        <v>54</v>
      </c>
      <c r="B36" t="s">
        <v>116</v>
      </c>
      <c r="D36">
        <v>4</v>
      </c>
      <c r="E36">
        <v>3</v>
      </c>
      <c r="F36">
        <v>3</v>
      </c>
      <c r="G36">
        <v>4</v>
      </c>
      <c r="H36">
        <v>4</v>
      </c>
      <c r="I36">
        <f t="shared" si="0"/>
        <v>3.6</v>
      </c>
      <c r="J36">
        <f t="shared" si="1"/>
        <v>0.54772255750516674</v>
      </c>
      <c r="K36">
        <f t="shared" si="2"/>
        <v>0.15214515486254632</v>
      </c>
      <c r="M36" s="50">
        <v>41.75</v>
      </c>
      <c r="N36" s="50">
        <v>55.666666666666657</v>
      </c>
      <c r="O36" s="50">
        <v>55.666666666666657</v>
      </c>
      <c r="P36" s="50">
        <v>41.75</v>
      </c>
      <c r="Q36">
        <v>41.75</v>
      </c>
      <c r="R36" s="50">
        <f t="shared" si="3"/>
        <v>48.708333333333329</v>
      </c>
      <c r="S36" s="50">
        <f t="shared" si="4"/>
        <v>7.622472258613584</v>
      </c>
      <c r="T36">
        <f t="shared" si="5"/>
        <v>0.15649215928719079</v>
      </c>
      <c r="V36" s="50">
        <v>25227</v>
      </c>
      <c r="W36" s="50">
        <v>34289</v>
      </c>
      <c r="X36">
        <v>34828.666666666657</v>
      </c>
      <c r="Y36" s="50">
        <v>25489.5</v>
      </c>
      <c r="Z36">
        <v>25230.75</v>
      </c>
      <c r="AA36" s="50">
        <f t="shared" si="6"/>
        <v>29012.98333333333</v>
      </c>
      <c r="AB36">
        <f t="shared" si="7"/>
        <v>5067.3567589249169</v>
      </c>
      <c r="AC36">
        <f t="shared" si="8"/>
        <v>0.17465824526576609</v>
      </c>
    </row>
    <row r="37" spans="1:29" x14ac:dyDescent="0.35">
      <c r="A37" s="7" t="s">
        <v>55</v>
      </c>
      <c r="B37" t="s">
        <v>116</v>
      </c>
      <c r="D37">
        <v>3</v>
      </c>
      <c r="E37">
        <v>3</v>
      </c>
      <c r="F37">
        <v>3</v>
      </c>
      <c r="G37">
        <v>4</v>
      </c>
      <c r="H37">
        <v>4</v>
      </c>
      <c r="I37">
        <f t="shared" si="0"/>
        <v>3.4</v>
      </c>
      <c r="J37">
        <f t="shared" si="1"/>
        <v>0.54772255750516674</v>
      </c>
      <c r="K37">
        <f t="shared" si="2"/>
        <v>0.16109486985446081</v>
      </c>
      <c r="M37" s="50">
        <v>57.666666666666657</v>
      </c>
      <c r="N37" s="50">
        <v>57.666666666666657</v>
      </c>
      <c r="O37" s="50">
        <v>57.666666666666657</v>
      </c>
      <c r="P37" s="50">
        <v>43.25</v>
      </c>
      <c r="Q37">
        <v>43.25</v>
      </c>
      <c r="R37" s="50">
        <f t="shared" si="3"/>
        <v>54.062499999999993</v>
      </c>
      <c r="S37" s="50">
        <f t="shared" si="4"/>
        <v>7.8963335373661083</v>
      </c>
      <c r="T37">
        <f t="shared" si="5"/>
        <v>0.14605934866804365</v>
      </c>
      <c r="V37" s="50">
        <v>36376.666666666657</v>
      </c>
      <c r="W37" s="50">
        <v>36472</v>
      </c>
      <c r="X37">
        <v>36328.333333333343</v>
      </c>
      <c r="Y37" s="50">
        <v>27096.25</v>
      </c>
      <c r="Z37">
        <v>26120.25</v>
      </c>
      <c r="AA37" s="50">
        <f t="shared" si="6"/>
        <v>32478.7</v>
      </c>
      <c r="AB37">
        <f t="shared" si="7"/>
        <v>5370.310052281794</v>
      </c>
      <c r="AC37">
        <f t="shared" si="8"/>
        <v>0.16534867627958613</v>
      </c>
    </row>
    <row r="38" spans="1:29" x14ac:dyDescent="0.35">
      <c r="A38" s="7" t="s">
        <v>56</v>
      </c>
      <c r="B38" t="s">
        <v>116</v>
      </c>
      <c r="D38">
        <v>4</v>
      </c>
      <c r="E38">
        <v>3</v>
      </c>
      <c r="F38">
        <v>4</v>
      </c>
      <c r="G38">
        <v>5</v>
      </c>
      <c r="H38">
        <v>4</v>
      </c>
      <c r="I38">
        <f t="shared" si="0"/>
        <v>4</v>
      </c>
      <c r="J38">
        <f t="shared" si="1"/>
        <v>0.70710678118654757</v>
      </c>
      <c r="K38">
        <f t="shared" si="2"/>
        <v>0.17677669529663689</v>
      </c>
      <c r="M38" s="50">
        <v>45.5</v>
      </c>
      <c r="N38" s="50">
        <v>60.666666666666657</v>
      </c>
      <c r="O38" s="50">
        <v>45.5</v>
      </c>
      <c r="P38" s="50">
        <v>36.4</v>
      </c>
      <c r="Q38">
        <v>45.5</v>
      </c>
      <c r="R38" s="50">
        <f t="shared" si="3"/>
        <v>47.016666666666666</v>
      </c>
      <c r="S38" s="50">
        <f t="shared" si="4"/>
        <v>8.7389485764720067</v>
      </c>
      <c r="T38">
        <f t="shared" si="5"/>
        <v>0.18586916504371515</v>
      </c>
      <c r="V38" s="50">
        <v>27241.75</v>
      </c>
      <c r="W38" s="50">
        <v>37806.333333333343</v>
      </c>
      <c r="X38">
        <v>27351.5</v>
      </c>
      <c r="Y38" s="50">
        <v>22375.8</v>
      </c>
      <c r="Z38">
        <v>27903.25</v>
      </c>
      <c r="AA38" s="50">
        <f t="shared" si="6"/>
        <v>28535.726666666673</v>
      </c>
      <c r="AB38">
        <f t="shared" si="7"/>
        <v>5642.8193230989164</v>
      </c>
      <c r="AC38">
        <f t="shared" si="8"/>
        <v>0.19774577283467049</v>
      </c>
    </row>
    <row r="39" spans="1:29" x14ac:dyDescent="0.35">
      <c r="A39" s="7" t="s">
        <v>57</v>
      </c>
      <c r="B39" t="s">
        <v>116</v>
      </c>
      <c r="D39">
        <v>3</v>
      </c>
      <c r="E39">
        <v>3</v>
      </c>
      <c r="F39">
        <v>4</v>
      </c>
      <c r="G39">
        <v>3</v>
      </c>
      <c r="H39">
        <v>3</v>
      </c>
      <c r="I39">
        <f t="shared" si="0"/>
        <v>3.2</v>
      </c>
      <c r="J39">
        <f t="shared" si="1"/>
        <v>0.44721359549995715</v>
      </c>
      <c r="K39">
        <f t="shared" si="2"/>
        <v>0.13975424859373661</v>
      </c>
      <c r="M39" s="50">
        <v>57</v>
      </c>
      <c r="N39" s="50">
        <v>57</v>
      </c>
      <c r="O39" s="50">
        <v>42.75</v>
      </c>
      <c r="P39" s="50">
        <v>57</v>
      </c>
      <c r="Q39">
        <v>57</v>
      </c>
      <c r="R39" s="50">
        <f t="shared" si="3"/>
        <v>53.4375</v>
      </c>
      <c r="S39" s="50">
        <f t="shared" si="4"/>
        <v>6.3727937358744153</v>
      </c>
      <c r="T39">
        <f t="shared" si="5"/>
        <v>0.11925695879998906</v>
      </c>
      <c r="V39" s="50">
        <v>36012</v>
      </c>
      <c r="W39" s="50">
        <v>37010.333333333343</v>
      </c>
      <c r="X39">
        <v>25631</v>
      </c>
      <c r="Y39" s="50">
        <v>35850</v>
      </c>
      <c r="Z39">
        <v>36222.333333333343</v>
      </c>
      <c r="AA39" s="50">
        <f t="shared" si="6"/>
        <v>34145.133333333339</v>
      </c>
      <c r="AB39">
        <f t="shared" si="7"/>
        <v>4780.3336389837696</v>
      </c>
      <c r="AC39">
        <f t="shared" si="8"/>
        <v>0.14000043849051505</v>
      </c>
    </row>
    <row r="40" spans="1:29" x14ac:dyDescent="0.35">
      <c r="A40" s="7" t="s">
        <v>58</v>
      </c>
      <c r="B40" t="s">
        <v>116</v>
      </c>
      <c r="D40">
        <v>4</v>
      </c>
      <c r="E40">
        <v>4</v>
      </c>
      <c r="F40">
        <v>3</v>
      </c>
      <c r="G40">
        <v>4</v>
      </c>
      <c r="H40">
        <v>3</v>
      </c>
      <c r="I40">
        <f t="shared" si="0"/>
        <v>3.6</v>
      </c>
      <c r="J40">
        <f t="shared" si="1"/>
        <v>0.54772255750516674</v>
      </c>
      <c r="K40">
        <f t="shared" si="2"/>
        <v>0.15214515486254632</v>
      </c>
      <c r="M40" s="50">
        <v>39</v>
      </c>
      <c r="N40" s="50">
        <v>39</v>
      </c>
      <c r="O40" s="50">
        <v>52</v>
      </c>
      <c r="P40" s="50">
        <v>39</v>
      </c>
      <c r="Q40">
        <v>52</v>
      </c>
      <c r="R40" s="50">
        <f t="shared" si="3"/>
        <v>42.25</v>
      </c>
      <c r="S40" s="50">
        <f t="shared" si="4"/>
        <v>7.1203932475671463</v>
      </c>
      <c r="T40">
        <f t="shared" si="5"/>
        <v>0.16853001769389694</v>
      </c>
      <c r="V40" s="50">
        <v>22698.25</v>
      </c>
      <c r="W40" s="50">
        <v>22264.25</v>
      </c>
      <c r="X40">
        <v>32028.333333333328</v>
      </c>
      <c r="Y40" s="50">
        <v>22810.5</v>
      </c>
      <c r="Z40">
        <v>31804.333333333328</v>
      </c>
      <c r="AA40" s="50">
        <f t="shared" si="6"/>
        <v>26321.133333333331</v>
      </c>
      <c r="AB40">
        <f t="shared" si="7"/>
        <v>5112.3807200836773</v>
      </c>
      <c r="AC40">
        <f t="shared" si="8"/>
        <v>0.19423102551626492</v>
      </c>
    </row>
    <row r="41" spans="1:29" x14ac:dyDescent="0.35">
      <c r="A41" s="7" t="s">
        <v>59</v>
      </c>
      <c r="B41" t="s">
        <v>116</v>
      </c>
      <c r="D41">
        <v>5</v>
      </c>
      <c r="E41">
        <v>6</v>
      </c>
      <c r="F41">
        <v>4</v>
      </c>
      <c r="G41">
        <v>4</v>
      </c>
      <c r="H41">
        <v>3</v>
      </c>
      <c r="I41">
        <f t="shared" si="0"/>
        <v>4.4000000000000004</v>
      </c>
      <c r="J41">
        <f t="shared" si="1"/>
        <v>1.1401754250991383</v>
      </c>
      <c r="K41">
        <f t="shared" si="2"/>
        <v>0.2591307784316223</v>
      </c>
      <c r="M41" s="50">
        <v>36.4</v>
      </c>
      <c r="N41" s="50">
        <v>30.333333333333329</v>
      </c>
      <c r="O41" s="50">
        <v>45.5</v>
      </c>
      <c r="P41" s="50">
        <v>45.5</v>
      </c>
      <c r="Q41">
        <v>60.666666666666657</v>
      </c>
      <c r="R41" s="50">
        <f t="shared" si="3"/>
        <v>39.43333333333333</v>
      </c>
      <c r="S41" s="50">
        <f t="shared" si="4"/>
        <v>11.470653376721355</v>
      </c>
      <c r="T41">
        <f t="shared" si="5"/>
        <v>0.29088723694136998</v>
      </c>
      <c r="V41" s="50">
        <v>22011.200000000001</v>
      </c>
      <c r="W41" s="50">
        <v>17543.5</v>
      </c>
      <c r="X41">
        <v>28021.75</v>
      </c>
      <c r="Y41" s="50">
        <v>27225.25</v>
      </c>
      <c r="Z41">
        <v>38054.666666666657</v>
      </c>
      <c r="AA41" s="50">
        <f t="shared" si="6"/>
        <v>26571.273333333327</v>
      </c>
      <c r="AB41">
        <f t="shared" si="7"/>
        <v>7692.4451680294078</v>
      </c>
      <c r="AC41">
        <f t="shared" si="8"/>
        <v>0.28950231596087389</v>
      </c>
    </row>
    <row r="42" spans="1:29" x14ac:dyDescent="0.35">
      <c r="A42" s="7" t="s">
        <v>60</v>
      </c>
      <c r="B42" t="s">
        <v>116</v>
      </c>
      <c r="D42">
        <v>4</v>
      </c>
      <c r="E42">
        <v>5</v>
      </c>
      <c r="F42">
        <v>7</v>
      </c>
      <c r="G42">
        <v>5</v>
      </c>
      <c r="H42">
        <v>3</v>
      </c>
      <c r="I42">
        <f t="shared" si="0"/>
        <v>4.8</v>
      </c>
      <c r="J42">
        <f t="shared" si="1"/>
        <v>1.4832396974191324</v>
      </c>
      <c r="K42">
        <f t="shared" si="2"/>
        <v>0.30900827029565259</v>
      </c>
      <c r="M42" s="50">
        <v>44.75</v>
      </c>
      <c r="N42" s="50">
        <v>35.799999999999997</v>
      </c>
      <c r="O42" s="50">
        <v>25.571428571428569</v>
      </c>
      <c r="P42" s="50">
        <v>35.799999999999997</v>
      </c>
      <c r="Q42">
        <v>59.666666666666657</v>
      </c>
      <c r="R42" s="50">
        <f t="shared" si="3"/>
        <v>35.480357142857144</v>
      </c>
      <c r="S42" s="50">
        <f t="shared" si="4"/>
        <v>12.770077740073788</v>
      </c>
      <c r="T42">
        <f t="shared" si="5"/>
        <v>0.35991965043239826</v>
      </c>
      <c r="V42" s="50">
        <v>27761.25</v>
      </c>
      <c r="W42" s="50">
        <v>21325.4</v>
      </c>
      <c r="X42">
        <v>15048.857142857139</v>
      </c>
      <c r="Y42" s="50">
        <v>21574.400000000001</v>
      </c>
      <c r="Z42">
        <v>39153</v>
      </c>
      <c r="AA42" s="50">
        <f t="shared" si="6"/>
        <v>24972.58142857143</v>
      </c>
      <c r="AB42">
        <f t="shared" si="7"/>
        <v>9113.0513050716072</v>
      </c>
      <c r="AC42">
        <f t="shared" si="8"/>
        <v>0.364922278104788</v>
      </c>
    </row>
    <row r="43" spans="1:29" x14ac:dyDescent="0.35">
      <c r="A43" s="7" t="s">
        <v>61</v>
      </c>
      <c r="B43" t="s">
        <v>116</v>
      </c>
      <c r="D43">
        <v>4</v>
      </c>
      <c r="E43">
        <v>4</v>
      </c>
      <c r="F43">
        <v>3</v>
      </c>
      <c r="G43">
        <v>4</v>
      </c>
      <c r="H43">
        <v>3</v>
      </c>
      <c r="I43">
        <f t="shared" si="0"/>
        <v>3.6</v>
      </c>
      <c r="J43">
        <f t="shared" si="1"/>
        <v>0.54772255750516674</v>
      </c>
      <c r="K43">
        <f t="shared" si="2"/>
        <v>0.15214515486254632</v>
      </c>
      <c r="M43" s="50">
        <v>46.25</v>
      </c>
      <c r="N43" s="50">
        <v>46.25</v>
      </c>
      <c r="O43" s="50">
        <v>61.666666666666657</v>
      </c>
      <c r="P43" s="50">
        <v>46.25</v>
      </c>
      <c r="Q43">
        <v>61.666666666666657</v>
      </c>
      <c r="R43" s="50">
        <f t="shared" si="3"/>
        <v>50.104166666666664</v>
      </c>
      <c r="S43" s="50">
        <f t="shared" si="4"/>
        <v>8.4440560948713461</v>
      </c>
      <c r="T43">
        <f t="shared" si="5"/>
        <v>0.16853001769389797</v>
      </c>
      <c r="V43" s="50">
        <v>28683.5</v>
      </c>
      <c r="W43" s="50">
        <v>28255.25</v>
      </c>
      <c r="X43">
        <v>39330.333333333343</v>
      </c>
      <c r="Y43" s="50">
        <v>27816.25</v>
      </c>
      <c r="Z43">
        <v>38567</v>
      </c>
      <c r="AA43" s="50">
        <f t="shared" si="6"/>
        <v>32530.466666666667</v>
      </c>
      <c r="AB43">
        <f t="shared" si="7"/>
        <v>5873.2101577960657</v>
      </c>
      <c r="AC43">
        <f t="shared" si="8"/>
        <v>0.1805449094222257</v>
      </c>
    </row>
    <row r="44" spans="1:29" x14ac:dyDescent="0.35">
      <c r="A44" s="7" t="s">
        <v>62</v>
      </c>
      <c r="B44" t="s">
        <v>116</v>
      </c>
      <c r="D44">
        <v>5</v>
      </c>
      <c r="E44">
        <v>3</v>
      </c>
      <c r="F44">
        <v>3</v>
      </c>
      <c r="G44">
        <v>3</v>
      </c>
      <c r="H44">
        <v>4</v>
      </c>
      <c r="I44">
        <f t="shared" si="0"/>
        <v>3.6</v>
      </c>
      <c r="J44">
        <f t="shared" si="1"/>
        <v>0.8944271909999163</v>
      </c>
      <c r="K44">
        <f t="shared" si="2"/>
        <v>0.24845199749997673</v>
      </c>
      <c r="M44" s="50">
        <v>35.200000000000003</v>
      </c>
      <c r="N44" s="50">
        <v>58.666666666666657</v>
      </c>
      <c r="O44" s="50">
        <v>58.666666666666657</v>
      </c>
      <c r="P44" s="50">
        <v>58.666666666666657</v>
      </c>
      <c r="Q44">
        <v>44</v>
      </c>
      <c r="R44" s="50">
        <f t="shared" si="3"/>
        <v>52.79999999999999</v>
      </c>
      <c r="S44" s="50">
        <f t="shared" si="4"/>
        <v>10.896849697657272</v>
      </c>
      <c r="T44">
        <f t="shared" si="5"/>
        <v>0.20637972912229685</v>
      </c>
      <c r="V44" s="50">
        <v>20863.8</v>
      </c>
      <c r="W44" s="50">
        <v>38495</v>
      </c>
      <c r="X44">
        <v>37144.666666666657</v>
      </c>
      <c r="Y44" s="50">
        <v>37131</v>
      </c>
      <c r="Z44">
        <v>26768.25</v>
      </c>
      <c r="AA44" s="50">
        <f t="shared" si="6"/>
        <v>32080.543333333335</v>
      </c>
      <c r="AB44">
        <f t="shared" si="7"/>
        <v>7847.5076213866805</v>
      </c>
      <c r="AC44">
        <f t="shared" si="8"/>
        <v>0.24461891246189452</v>
      </c>
    </row>
    <row r="45" spans="1:29" x14ac:dyDescent="0.35">
      <c r="A45" s="7" t="s">
        <v>63</v>
      </c>
      <c r="B45" t="s">
        <v>116</v>
      </c>
      <c r="D45">
        <v>3</v>
      </c>
      <c r="E45">
        <v>3</v>
      </c>
      <c r="F45">
        <v>5</v>
      </c>
      <c r="G45">
        <v>5</v>
      </c>
      <c r="H45">
        <v>4</v>
      </c>
      <c r="I45">
        <f t="shared" si="0"/>
        <v>4</v>
      </c>
      <c r="J45">
        <f t="shared" si="1"/>
        <v>1</v>
      </c>
      <c r="K45">
        <f t="shared" si="2"/>
        <v>0.25</v>
      </c>
      <c r="M45" s="50">
        <v>56</v>
      </c>
      <c r="N45" s="50">
        <v>56</v>
      </c>
      <c r="O45" s="50">
        <v>33.6</v>
      </c>
      <c r="P45" s="50">
        <v>33.6</v>
      </c>
      <c r="Q45">
        <v>42</v>
      </c>
      <c r="R45" s="50">
        <f t="shared" si="3"/>
        <v>44.8</v>
      </c>
      <c r="S45" s="50">
        <f t="shared" si="4"/>
        <v>11.269782606598952</v>
      </c>
      <c r="T45">
        <f t="shared" si="5"/>
        <v>0.25155764746872661</v>
      </c>
      <c r="V45" s="50">
        <v>35386.666666666657</v>
      </c>
      <c r="W45" s="50">
        <v>35127.666666666657</v>
      </c>
      <c r="X45">
        <v>20077</v>
      </c>
      <c r="Y45" s="50">
        <v>20073.400000000001</v>
      </c>
      <c r="Z45">
        <v>25365.5</v>
      </c>
      <c r="AA45" s="50">
        <f t="shared" si="6"/>
        <v>27206.046666666662</v>
      </c>
      <c r="AB45">
        <f t="shared" si="7"/>
        <v>7660.9427273671745</v>
      </c>
      <c r="AC45">
        <f t="shared" si="8"/>
        <v>0.28158970765691949</v>
      </c>
    </row>
    <row r="46" spans="1:29" x14ac:dyDescent="0.35">
      <c r="A46" s="7" t="s">
        <v>64</v>
      </c>
      <c r="B46" t="s">
        <v>116</v>
      </c>
      <c r="D46">
        <v>3</v>
      </c>
      <c r="E46">
        <v>3</v>
      </c>
      <c r="F46">
        <v>3</v>
      </c>
      <c r="G46">
        <v>3</v>
      </c>
      <c r="H46">
        <v>3</v>
      </c>
      <c r="I46">
        <f t="shared" si="0"/>
        <v>3</v>
      </c>
      <c r="J46">
        <f t="shared" si="1"/>
        <v>0</v>
      </c>
      <c r="K46">
        <f t="shared" si="2"/>
        <v>0</v>
      </c>
      <c r="M46" s="50">
        <v>56.666666666666657</v>
      </c>
      <c r="N46" s="50">
        <v>56.666666666666657</v>
      </c>
      <c r="O46" s="50">
        <v>56.666666666666657</v>
      </c>
      <c r="P46" s="50">
        <v>56.666666666666657</v>
      </c>
      <c r="Q46">
        <v>56.666666666666657</v>
      </c>
      <c r="R46" s="50">
        <f t="shared" si="3"/>
        <v>56.666666666666657</v>
      </c>
      <c r="S46" s="50">
        <f t="shared" si="4"/>
        <v>7.944109290391274E-15</v>
      </c>
      <c r="T46">
        <f t="shared" si="5"/>
        <v>1.4019016394808133E-16</v>
      </c>
      <c r="V46" s="50">
        <v>36308.333333333343</v>
      </c>
      <c r="W46" s="50">
        <v>35913</v>
      </c>
      <c r="X46">
        <v>36406.666666666657</v>
      </c>
      <c r="Y46" s="50">
        <v>35711.666666666657</v>
      </c>
      <c r="Z46">
        <v>36040.333333333343</v>
      </c>
      <c r="AA46" s="50">
        <f t="shared" si="6"/>
        <v>36076</v>
      </c>
      <c r="AB46">
        <f t="shared" si="7"/>
        <v>284.56067503746704</v>
      </c>
      <c r="AC46">
        <f t="shared" si="8"/>
        <v>7.8878111497246647E-3</v>
      </c>
    </row>
    <row r="47" spans="1:29" x14ac:dyDescent="0.35">
      <c r="A47" s="7" t="s">
        <v>65</v>
      </c>
      <c r="B47" t="s">
        <v>116</v>
      </c>
      <c r="D47">
        <v>5</v>
      </c>
      <c r="E47">
        <v>3</v>
      </c>
      <c r="F47">
        <v>4</v>
      </c>
      <c r="G47">
        <v>4</v>
      </c>
      <c r="H47">
        <v>3</v>
      </c>
      <c r="I47">
        <f t="shared" si="0"/>
        <v>3.8</v>
      </c>
      <c r="J47">
        <f t="shared" si="1"/>
        <v>0.83666002653407512</v>
      </c>
      <c r="K47">
        <f t="shared" si="2"/>
        <v>0.22017369119317767</v>
      </c>
      <c r="M47" s="50">
        <v>33.799999999999997</v>
      </c>
      <c r="N47" s="50">
        <v>56.333333333333343</v>
      </c>
      <c r="O47" s="50">
        <v>42.25</v>
      </c>
      <c r="P47" s="50">
        <v>42.25</v>
      </c>
      <c r="Q47">
        <v>56.333333333333343</v>
      </c>
      <c r="R47" s="50">
        <f t="shared" si="3"/>
        <v>43.658333333333331</v>
      </c>
      <c r="S47" s="50">
        <f t="shared" si="4"/>
        <v>9.8784318931026114</v>
      </c>
      <c r="T47">
        <f t="shared" si="5"/>
        <v>0.22626681182903483</v>
      </c>
      <c r="V47" s="50">
        <v>19774.8</v>
      </c>
      <c r="W47" s="50">
        <v>35308.333333333343</v>
      </c>
      <c r="X47">
        <v>25688.25</v>
      </c>
      <c r="Y47" s="50">
        <v>25918</v>
      </c>
      <c r="Z47">
        <v>36929.333333333343</v>
      </c>
      <c r="AA47" s="50">
        <f t="shared" si="6"/>
        <v>28723.743333333336</v>
      </c>
      <c r="AB47">
        <f t="shared" si="7"/>
        <v>7208.6499243732878</v>
      </c>
      <c r="AC47">
        <f t="shared" si="8"/>
        <v>0.25096484955732745</v>
      </c>
    </row>
    <row r="48" spans="1:29" x14ac:dyDescent="0.35">
      <c r="A48" s="7" t="s">
        <v>66</v>
      </c>
      <c r="B48" t="s">
        <v>116</v>
      </c>
      <c r="D48">
        <v>3</v>
      </c>
      <c r="E48">
        <v>3</v>
      </c>
      <c r="F48">
        <v>4</v>
      </c>
      <c r="G48">
        <v>3</v>
      </c>
      <c r="H48">
        <v>4</v>
      </c>
      <c r="I48">
        <f t="shared" si="0"/>
        <v>3.4</v>
      </c>
      <c r="J48">
        <f t="shared" si="1"/>
        <v>0.54772255750516674</v>
      </c>
      <c r="K48">
        <f t="shared" si="2"/>
        <v>0.16109486985446081</v>
      </c>
      <c r="M48" s="50">
        <v>63</v>
      </c>
      <c r="N48" s="50">
        <v>63</v>
      </c>
      <c r="O48" s="50">
        <v>47.25</v>
      </c>
      <c r="P48" s="50">
        <v>63</v>
      </c>
      <c r="Q48">
        <v>47.25</v>
      </c>
      <c r="R48" s="50">
        <f t="shared" si="3"/>
        <v>59.0625</v>
      </c>
      <c r="S48" s="50">
        <f t="shared" si="4"/>
        <v>8.6266302807063564</v>
      </c>
      <c r="T48">
        <f t="shared" si="5"/>
        <v>0.14605934866804413</v>
      </c>
      <c r="V48" s="50">
        <v>39298.666666666657</v>
      </c>
      <c r="W48" s="50">
        <v>40151.666666666657</v>
      </c>
      <c r="X48">
        <v>28675.25</v>
      </c>
      <c r="Y48" s="50">
        <v>38835.333333333343</v>
      </c>
      <c r="Z48">
        <v>28640</v>
      </c>
      <c r="AA48" s="50">
        <f t="shared" si="6"/>
        <v>35120.183333333334</v>
      </c>
      <c r="AB48">
        <f t="shared" si="7"/>
        <v>5918.3576422808692</v>
      </c>
      <c r="AC48">
        <f t="shared" si="8"/>
        <v>0.16851727640794023</v>
      </c>
    </row>
    <row r="49" spans="1:29" x14ac:dyDescent="0.35">
      <c r="A49" s="7" t="s">
        <v>67</v>
      </c>
      <c r="B49" t="s">
        <v>116</v>
      </c>
      <c r="D49">
        <v>3</v>
      </c>
      <c r="E49">
        <v>3</v>
      </c>
      <c r="F49">
        <v>3</v>
      </c>
      <c r="G49">
        <v>4</v>
      </c>
      <c r="H49">
        <v>3</v>
      </c>
      <c r="I49">
        <f t="shared" si="0"/>
        <v>3.2</v>
      </c>
      <c r="J49">
        <f t="shared" si="1"/>
        <v>0.44721359549995715</v>
      </c>
      <c r="K49">
        <f t="shared" si="2"/>
        <v>0.13975424859373661</v>
      </c>
      <c r="M49" s="50">
        <v>54</v>
      </c>
      <c r="N49" s="50">
        <v>54</v>
      </c>
      <c r="O49" s="50">
        <v>54</v>
      </c>
      <c r="P49" s="50">
        <v>40.5</v>
      </c>
      <c r="Q49">
        <v>54</v>
      </c>
      <c r="R49" s="50">
        <f t="shared" si="3"/>
        <v>50.625</v>
      </c>
      <c r="S49" s="50">
        <f t="shared" si="4"/>
        <v>6.0373835392494168</v>
      </c>
      <c r="T49">
        <f t="shared" si="5"/>
        <v>0.11925695879998847</v>
      </c>
      <c r="V49" s="50">
        <v>34670</v>
      </c>
      <c r="W49" s="50">
        <v>33704.666666666657</v>
      </c>
      <c r="X49">
        <v>34847</v>
      </c>
      <c r="Y49" s="50">
        <v>24439.75</v>
      </c>
      <c r="Z49">
        <v>36499</v>
      </c>
      <c r="AA49" s="50">
        <f t="shared" si="6"/>
        <v>32832.083333333328</v>
      </c>
      <c r="AB49">
        <f t="shared" si="7"/>
        <v>4797.8319358562703</v>
      </c>
      <c r="AC49">
        <f t="shared" si="8"/>
        <v>0.1461324244077192</v>
      </c>
    </row>
    <row r="50" spans="1:29" x14ac:dyDescent="0.35">
      <c r="A50" s="7" t="s">
        <v>68</v>
      </c>
      <c r="B50" t="s">
        <v>116</v>
      </c>
      <c r="D50">
        <v>3</v>
      </c>
      <c r="E50">
        <v>3</v>
      </c>
      <c r="F50">
        <v>3</v>
      </c>
      <c r="G50">
        <v>4</v>
      </c>
      <c r="H50">
        <v>3</v>
      </c>
      <c r="I50">
        <f t="shared" si="0"/>
        <v>3.2</v>
      </c>
      <c r="J50">
        <f t="shared" si="1"/>
        <v>0.44721359549995715</v>
      </c>
      <c r="K50">
        <f t="shared" si="2"/>
        <v>0.13975424859373661</v>
      </c>
      <c r="M50" s="50">
        <v>54</v>
      </c>
      <c r="N50" s="50">
        <v>54</v>
      </c>
      <c r="O50" s="50">
        <v>54</v>
      </c>
      <c r="P50" s="50">
        <v>40.5</v>
      </c>
      <c r="Q50">
        <v>54</v>
      </c>
      <c r="R50" s="50">
        <f t="shared" si="3"/>
        <v>50.625</v>
      </c>
      <c r="S50" s="50">
        <f t="shared" si="4"/>
        <v>6.0373835392494168</v>
      </c>
      <c r="T50">
        <f t="shared" si="5"/>
        <v>0.11925695879998847</v>
      </c>
      <c r="V50" s="50">
        <v>33892.333333333343</v>
      </c>
      <c r="W50" s="50">
        <v>33312.333333333343</v>
      </c>
      <c r="X50">
        <v>34487.666666666657</v>
      </c>
      <c r="Y50" s="50">
        <v>24291.5</v>
      </c>
      <c r="Z50">
        <v>34531.666666666657</v>
      </c>
      <c r="AA50" s="50">
        <f t="shared" si="6"/>
        <v>32103.1</v>
      </c>
      <c r="AB50">
        <f t="shared" si="7"/>
        <v>4395.1333875599967</v>
      </c>
      <c r="AC50">
        <f t="shared" si="8"/>
        <v>0.13690682169510099</v>
      </c>
    </row>
    <row r="51" spans="1:29" x14ac:dyDescent="0.35">
      <c r="A51" s="7" t="s">
        <v>69</v>
      </c>
      <c r="B51" t="s">
        <v>116</v>
      </c>
      <c r="D51">
        <v>5</v>
      </c>
      <c r="E51">
        <v>3</v>
      </c>
      <c r="F51">
        <v>3</v>
      </c>
      <c r="G51">
        <v>3</v>
      </c>
      <c r="H51">
        <v>3</v>
      </c>
      <c r="I51">
        <f t="shared" si="0"/>
        <v>3.4</v>
      </c>
      <c r="J51">
        <f t="shared" si="1"/>
        <v>0.8944271909999163</v>
      </c>
      <c r="K51">
        <f t="shared" si="2"/>
        <v>0.26306682088232836</v>
      </c>
      <c r="M51" s="50">
        <v>34.6</v>
      </c>
      <c r="N51" s="50">
        <v>57.666666666666657</v>
      </c>
      <c r="O51" s="50">
        <v>57.666666666666657</v>
      </c>
      <c r="P51" s="50">
        <v>57.666666666666657</v>
      </c>
      <c r="Q51">
        <v>57.666666666666657</v>
      </c>
      <c r="R51" s="50">
        <f t="shared" si="3"/>
        <v>51.899999999999991</v>
      </c>
      <c r="S51" s="50">
        <f t="shared" si="4"/>
        <v>10.315726936199006</v>
      </c>
      <c r="T51">
        <f t="shared" si="5"/>
        <v>0.19876159799998089</v>
      </c>
      <c r="V51" s="50">
        <v>20970.2</v>
      </c>
      <c r="W51" s="50">
        <v>36738</v>
      </c>
      <c r="X51">
        <v>36668.666666666657</v>
      </c>
      <c r="Y51" s="50">
        <v>37569.666666666657</v>
      </c>
      <c r="Z51">
        <v>36432.666666666657</v>
      </c>
      <c r="AA51" s="50">
        <f t="shared" si="6"/>
        <v>33675.839999999997</v>
      </c>
      <c r="AB51">
        <f t="shared" si="7"/>
        <v>7115.6359960301361</v>
      </c>
      <c r="AC51">
        <f t="shared" si="8"/>
        <v>0.21129795117301117</v>
      </c>
    </row>
    <row r="52" spans="1:29" x14ac:dyDescent="0.35">
      <c r="A52" s="7" t="s">
        <v>70</v>
      </c>
      <c r="B52" t="s">
        <v>116</v>
      </c>
      <c r="D52">
        <v>3</v>
      </c>
      <c r="E52">
        <v>4</v>
      </c>
      <c r="F52">
        <v>3</v>
      </c>
      <c r="G52">
        <v>3</v>
      </c>
      <c r="H52">
        <v>3</v>
      </c>
      <c r="I52">
        <f t="shared" si="0"/>
        <v>3.2</v>
      </c>
      <c r="J52">
        <f t="shared" si="1"/>
        <v>0.44721359549995715</v>
      </c>
      <c r="K52">
        <f t="shared" si="2"/>
        <v>0.13975424859373661</v>
      </c>
      <c r="M52" s="50">
        <v>56</v>
      </c>
      <c r="N52" s="50">
        <v>42</v>
      </c>
      <c r="O52" s="50">
        <v>56</v>
      </c>
      <c r="P52" s="50">
        <v>56</v>
      </c>
      <c r="Q52">
        <v>56</v>
      </c>
      <c r="R52" s="50">
        <f t="shared" si="3"/>
        <v>52.5</v>
      </c>
      <c r="S52" s="50">
        <f t="shared" si="4"/>
        <v>6.2609903369993969</v>
      </c>
      <c r="T52">
        <f t="shared" si="5"/>
        <v>0.11925695879998852</v>
      </c>
      <c r="V52" s="50">
        <v>35574</v>
      </c>
      <c r="W52" s="50">
        <v>25622.5</v>
      </c>
      <c r="X52">
        <v>35588.333333333343</v>
      </c>
      <c r="Y52" s="50">
        <v>35168</v>
      </c>
      <c r="Z52">
        <v>35691.333333333343</v>
      </c>
      <c r="AA52" s="50">
        <f t="shared" si="6"/>
        <v>33528.833333333336</v>
      </c>
      <c r="AB52">
        <f t="shared" si="7"/>
        <v>4424.2973265065784</v>
      </c>
      <c r="AC52">
        <f t="shared" si="8"/>
        <v>0.1319550036985056</v>
      </c>
    </row>
    <row r="53" spans="1:29" x14ac:dyDescent="0.35">
      <c r="A53" s="7" t="s">
        <v>71</v>
      </c>
      <c r="B53" t="s">
        <v>116</v>
      </c>
      <c r="D53">
        <v>3</v>
      </c>
      <c r="E53">
        <v>4</v>
      </c>
      <c r="F53">
        <v>6</v>
      </c>
      <c r="G53">
        <v>4</v>
      </c>
      <c r="H53">
        <v>4</v>
      </c>
      <c r="I53">
        <f t="shared" si="0"/>
        <v>4.2</v>
      </c>
      <c r="J53">
        <f t="shared" si="1"/>
        <v>1.0954451150103319</v>
      </c>
      <c r="K53">
        <f t="shared" si="2"/>
        <v>0.26082026547865045</v>
      </c>
      <c r="M53" s="50">
        <v>58</v>
      </c>
      <c r="N53" s="50">
        <v>43.5</v>
      </c>
      <c r="O53" s="50">
        <v>29</v>
      </c>
      <c r="P53" s="50">
        <v>43.5</v>
      </c>
      <c r="Q53">
        <v>43.5</v>
      </c>
      <c r="R53" s="50">
        <f t="shared" si="3"/>
        <v>43.5</v>
      </c>
      <c r="S53" s="50">
        <f t="shared" si="4"/>
        <v>10.253048327204938</v>
      </c>
      <c r="T53">
        <f t="shared" si="5"/>
        <v>0.23570226039551584</v>
      </c>
      <c r="V53" s="50">
        <v>36679</v>
      </c>
      <c r="W53" s="50">
        <v>26522.25</v>
      </c>
      <c r="X53">
        <v>17377.5</v>
      </c>
      <c r="Y53" s="50">
        <v>25675</v>
      </c>
      <c r="Z53">
        <v>26914.75</v>
      </c>
      <c r="AA53" s="50">
        <f t="shared" si="6"/>
        <v>26633.7</v>
      </c>
      <c r="AB53">
        <f t="shared" si="7"/>
        <v>6848.2809234325405</v>
      </c>
      <c r="AC53">
        <f t="shared" si="8"/>
        <v>0.25712840962511929</v>
      </c>
    </row>
    <row r="54" spans="1:29" x14ac:dyDescent="0.35">
      <c r="A54" s="7" t="s">
        <v>72</v>
      </c>
      <c r="B54" t="s">
        <v>116</v>
      </c>
      <c r="D54">
        <v>3</v>
      </c>
      <c r="E54">
        <v>4</v>
      </c>
      <c r="F54">
        <v>3</v>
      </c>
      <c r="G54">
        <v>3</v>
      </c>
      <c r="H54">
        <v>3</v>
      </c>
      <c r="I54">
        <f t="shared" si="0"/>
        <v>3.2</v>
      </c>
      <c r="J54">
        <f t="shared" si="1"/>
        <v>0.44721359549995715</v>
      </c>
      <c r="K54">
        <f t="shared" si="2"/>
        <v>0.13975424859373661</v>
      </c>
      <c r="M54" s="50">
        <v>54.666666666666657</v>
      </c>
      <c r="N54" s="50">
        <v>41</v>
      </c>
      <c r="O54" s="50">
        <v>54.666666666666657</v>
      </c>
      <c r="P54" s="50">
        <v>54.666666666666657</v>
      </c>
      <c r="Q54">
        <v>54.666666666666657</v>
      </c>
      <c r="R54" s="50">
        <f t="shared" si="3"/>
        <v>51.249999999999993</v>
      </c>
      <c r="S54" s="50">
        <f t="shared" si="4"/>
        <v>6.1119191384994487</v>
      </c>
      <c r="T54">
        <f t="shared" si="5"/>
        <v>0.11925695879998927</v>
      </c>
      <c r="V54" s="50">
        <v>34762.333333333343</v>
      </c>
      <c r="W54" s="50">
        <v>24902.25</v>
      </c>
      <c r="X54">
        <v>35010.666666666657</v>
      </c>
      <c r="Y54" s="50">
        <v>35405.333333333343</v>
      </c>
      <c r="Z54">
        <v>34954.666666666657</v>
      </c>
      <c r="AA54" s="50">
        <f t="shared" si="6"/>
        <v>33007.050000000003</v>
      </c>
      <c r="AB54">
        <f t="shared" si="7"/>
        <v>4536.7459702534825</v>
      </c>
      <c r="AC54">
        <f t="shared" si="8"/>
        <v>0.13744778676838681</v>
      </c>
    </row>
    <row r="55" spans="1:29" x14ac:dyDescent="0.35">
      <c r="A55" s="7" t="s">
        <v>73</v>
      </c>
      <c r="B55" t="s">
        <v>117</v>
      </c>
      <c r="D55">
        <v>3</v>
      </c>
      <c r="E55">
        <v>4</v>
      </c>
      <c r="F55">
        <v>4</v>
      </c>
      <c r="G55">
        <v>4</v>
      </c>
      <c r="H55">
        <v>4</v>
      </c>
      <c r="I55">
        <f t="shared" si="0"/>
        <v>3.8</v>
      </c>
      <c r="J55">
        <f t="shared" si="1"/>
        <v>0.44721359549995715</v>
      </c>
      <c r="K55">
        <f t="shared" si="2"/>
        <v>0.11768778828946241</v>
      </c>
      <c r="M55" s="50">
        <v>128.33333333333329</v>
      </c>
      <c r="N55" s="50">
        <v>96.25</v>
      </c>
      <c r="O55" s="50">
        <v>96.25</v>
      </c>
      <c r="P55" s="50">
        <v>96.25</v>
      </c>
      <c r="Q55">
        <v>96.25</v>
      </c>
      <c r="R55" s="50">
        <f t="shared" si="3"/>
        <v>104.27083333333331</v>
      </c>
      <c r="S55" s="50">
        <f t="shared" si="4"/>
        <v>14.348102855623686</v>
      </c>
      <c r="T55">
        <f t="shared" si="5"/>
        <v>0.13760418323075665</v>
      </c>
      <c r="V55" s="50">
        <v>22209</v>
      </c>
      <c r="W55" s="50">
        <v>16219.75</v>
      </c>
      <c r="X55">
        <v>16335.5</v>
      </c>
      <c r="Y55" s="50">
        <v>16296</v>
      </c>
      <c r="Z55">
        <v>16475</v>
      </c>
      <c r="AA55" s="50">
        <f t="shared" si="6"/>
        <v>17507.05</v>
      </c>
      <c r="AB55">
        <f t="shared" si="7"/>
        <v>2630.1033154611982</v>
      </c>
      <c r="AC55">
        <f t="shared" si="8"/>
        <v>0.15023109635610787</v>
      </c>
    </row>
    <row r="56" spans="1:29" x14ac:dyDescent="0.35">
      <c r="A56" s="7" t="s">
        <v>74</v>
      </c>
      <c r="B56" t="s">
        <v>117</v>
      </c>
      <c r="D56">
        <v>4</v>
      </c>
      <c r="E56">
        <v>4</v>
      </c>
      <c r="F56">
        <v>5</v>
      </c>
      <c r="G56">
        <v>5</v>
      </c>
      <c r="H56">
        <v>4</v>
      </c>
      <c r="I56">
        <f t="shared" si="0"/>
        <v>4.4000000000000004</v>
      </c>
      <c r="J56">
        <f t="shared" si="1"/>
        <v>0.54772255750516674</v>
      </c>
      <c r="K56">
        <f t="shared" si="2"/>
        <v>0.12448239943299243</v>
      </c>
      <c r="M56" s="50">
        <v>112.5</v>
      </c>
      <c r="N56" s="50">
        <v>112.5</v>
      </c>
      <c r="O56" s="50">
        <v>90</v>
      </c>
      <c r="P56" s="50">
        <v>90</v>
      </c>
      <c r="Q56">
        <v>112.5</v>
      </c>
      <c r="R56" s="50">
        <f t="shared" si="3"/>
        <v>101.25</v>
      </c>
      <c r="S56" s="50">
        <f t="shared" si="4"/>
        <v>12.323757543866238</v>
      </c>
      <c r="T56">
        <f t="shared" si="5"/>
        <v>0.12171612389003691</v>
      </c>
      <c r="V56" s="50">
        <v>19347.75</v>
      </c>
      <c r="W56" s="50">
        <v>19357</v>
      </c>
      <c r="X56">
        <v>15427.2</v>
      </c>
      <c r="Y56" s="50">
        <v>15488.4</v>
      </c>
      <c r="Z56">
        <v>19432.75</v>
      </c>
      <c r="AA56" s="50">
        <f t="shared" si="6"/>
        <v>17810.62</v>
      </c>
      <c r="AB56">
        <f t="shared" si="7"/>
        <v>2148.1830754733405</v>
      </c>
      <c r="AC56">
        <f t="shared" si="8"/>
        <v>0.12061248151234155</v>
      </c>
    </row>
    <row r="57" spans="1:29" x14ac:dyDescent="0.35">
      <c r="A57" s="7" t="s">
        <v>75</v>
      </c>
      <c r="B57" t="s">
        <v>117</v>
      </c>
      <c r="D57">
        <v>5</v>
      </c>
      <c r="E57">
        <v>6</v>
      </c>
      <c r="F57">
        <v>4</v>
      </c>
      <c r="G57">
        <v>4</v>
      </c>
      <c r="H57">
        <v>4</v>
      </c>
      <c r="I57">
        <f t="shared" si="0"/>
        <v>4.5999999999999996</v>
      </c>
      <c r="J57">
        <f t="shared" si="1"/>
        <v>0.8944271909999163</v>
      </c>
      <c r="K57">
        <f t="shared" si="2"/>
        <v>0.19444069369563399</v>
      </c>
      <c r="M57" s="50">
        <v>89</v>
      </c>
      <c r="N57" s="50">
        <v>74.166666666666671</v>
      </c>
      <c r="O57" s="50">
        <v>111.25</v>
      </c>
      <c r="P57" s="50">
        <v>111.25</v>
      </c>
      <c r="Q57">
        <v>111.25</v>
      </c>
      <c r="R57" s="50">
        <f t="shared" si="3"/>
        <v>96.416666666666671</v>
      </c>
      <c r="S57" s="50">
        <f t="shared" si="4"/>
        <v>17.074448909278317</v>
      </c>
      <c r="T57">
        <f t="shared" si="5"/>
        <v>0.17709022204955902</v>
      </c>
      <c r="V57" s="50">
        <v>15578.2</v>
      </c>
      <c r="W57" s="50">
        <v>12907.33333333333</v>
      </c>
      <c r="X57">
        <v>19531</v>
      </c>
      <c r="Y57" s="50">
        <v>19522.5</v>
      </c>
      <c r="Z57">
        <v>19511.5</v>
      </c>
      <c r="AA57" s="50">
        <f t="shared" si="6"/>
        <v>17410.106666666667</v>
      </c>
      <c r="AB57">
        <f t="shared" si="7"/>
        <v>3041.6729687058055</v>
      </c>
      <c r="AC57">
        <f t="shared" si="8"/>
        <v>0.17470731380005744</v>
      </c>
    </row>
    <row r="58" spans="1:29" x14ac:dyDescent="0.35">
      <c r="A58" s="7" t="s">
        <v>76</v>
      </c>
      <c r="B58" t="s">
        <v>117</v>
      </c>
      <c r="D58">
        <v>6</v>
      </c>
      <c r="E58">
        <v>6</v>
      </c>
      <c r="F58">
        <v>6</v>
      </c>
      <c r="G58">
        <v>6</v>
      </c>
      <c r="H58">
        <v>5</v>
      </c>
      <c r="I58">
        <f t="shared" si="0"/>
        <v>5.8</v>
      </c>
      <c r="J58">
        <f t="shared" si="1"/>
        <v>0.44721359549995793</v>
      </c>
      <c r="K58">
        <f t="shared" si="2"/>
        <v>7.7105792327578956E-2</v>
      </c>
      <c r="M58" s="50">
        <v>74.333333333333329</v>
      </c>
      <c r="N58" s="50">
        <v>74.333333333333329</v>
      </c>
      <c r="O58" s="50">
        <v>74.333333333333329</v>
      </c>
      <c r="P58" s="50">
        <v>74.333333333333329</v>
      </c>
      <c r="Q58">
        <v>89.2</v>
      </c>
      <c r="R58" s="50">
        <f t="shared" si="3"/>
        <v>74.333333333333329</v>
      </c>
      <c r="S58" s="50">
        <f t="shared" si="4"/>
        <v>6.6485754530993777</v>
      </c>
      <c r="T58">
        <f t="shared" si="5"/>
        <v>8.944271909999163E-2</v>
      </c>
      <c r="V58" s="50">
        <v>13022</v>
      </c>
      <c r="W58" s="50">
        <v>13104</v>
      </c>
      <c r="X58">
        <v>13100.33333333333</v>
      </c>
      <c r="Y58" s="50">
        <v>13116.66666666667</v>
      </c>
      <c r="Z58">
        <v>16133.2</v>
      </c>
      <c r="AA58" s="50">
        <f t="shared" si="6"/>
        <v>13695.24</v>
      </c>
      <c r="AB58">
        <f t="shared" si="7"/>
        <v>1363.371449833912</v>
      </c>
      <c r="AC58">
        <f t="shared" si="8"/>
        <v>9.9550752658143421E-2</v>
      </c>
    </row>
    <row r="59" spans="1:29" x14ac:dyDescent="0.35">
      <c r="A59" s="7" t="s">
        <v>77</v>
      </c>
      <c r="B59" t="s">
        <v>117</v>
      </c>
      <c r="D59">
        <v>7</v>
      </c>
      <c r="E59">
        <v>6</v>
      </c>
      <c r="F59">
        <v>6</v>
      </c>
      <c r="G59">
        <v>5</v>
      </c>
      <c r="H59">
        <v>7</v>
      </c>
      <c r="I59">
        <f t="shared" si="0"/>
        <v>6.2</v>
      </c>
      <c r="J59">
        <f t="shared" si="1"/>
        <v>0.83666002653407723</v>
      </c>
      <c r="K59">
        <f t="shared" si="2"/>
        <v>0.13494516557001246</v>
      </c>
      <c r="M59" s="50">
        <v>65.285714285714292</v>
      </c>
      <c r="N59" s="50">
        <v>76.166666666666671</v>
      </c>
      <c r="O59" s="50">
        <v>76.166666666666671</v>
      </c>
      <c r="P59" s="50">
        <v>91.4</v>
      </c>
      <c r="Q59">
        <v>65.285714285714292</v>
      </c>
      <c r="R59" s="50">
        <f t="shared" si="3"/>
        <v>77.254761904761921</v>
      </c>
      <c r="S59" s="50">
        <f t="shared" si="4"/>
        <v>10.72753751913679</v>
      </c>
      <c r="T59">
        <f t="shared" si="5"/>
        <v>0.13885923993088578</v>
      </c>
      <c r="V59" s="50">
        <v>11023.857142857139</v>
      </c>
      <c r="W59" s="50">
        <v>12870.5</v>
      </c>
      <c r="X59">
        <v>12842.16666666667</v>
      </c>
      <c r="Y59" s="50">
        <v>15429.4</v>
      </c>
      <c r="Z59">
        <v>10998</v>
      </c>
      <c r="AA59" s="50">
        <f t="shared" si="6"/>
        <v>12632.784761904762</v>
      </c>
      <c r="AB59">
        <f t="shared" si="7"/>
        <v>1815.3908262066534</v>
      </c>
      <c r="AC59">
        <f t="shared" si="8"/>
        <v>0.14370472230961451</v>
      </c>
    </row>
    <row r="60" spans="1:29" x14ac:dyDescent="0.35">
      <c r="A60" s="7" t="s">
        <v>78</v>
      </c>
      <c r="B60" t="s">
        <v>117</v>
      </c>
      <c r="D60">
        <v>4</v>
      </c>
      <c r="E60">
        <v>4</v>
      </c>
      <c r="F60">
        <v>3</v>
      </c>
      <c r="G60">
        <v>4</v>
      </c>
      <c r="H60">
        <v>4</v>
      </c>
      <c r="I60">
        <f t="shared" si="0"/>
        <v>3.8</v>
      </c>
      <c r="J60">
        <f t="shared" si="1"/>
        <v>0.44721359549995715</v>
      </c>
      <c r="K60">
        <f t="shared" si="2"/>
        <v>0.11768778828946241</v>
      </c>
      <c r="M60" s="50">
        <v>115</v>
      </c>
      <c r="N60" s="50">
        <v>115</v>
      </c>
      <c r="O60" s="50">
        <v>153.33333333333329</v>
      </c>
      <c r="P60" s="50">
        <v>115</v>
      </c>
      <c r="Q60">
        <v>115</v>
      </c>
      <c r="R60" s="50">
        <f t="shared" si="3"/>
        <v>124.58333333333331</v>
      </c>
      <c r="S60" s="50">
        <f t="shared" si="4"/>
        <v>17.143187827498434</v>
      </c>
      <c r="T60">
        <f t="shared" si="5"/>
        <v>0.13760418323075668</v>
      </c>
      <c r="V60" s="50">
        <v>19913.75</v>
      </c>
      <c r="W60" s="50">
        <v>19927</v>
      </c>
      <c r="X60">
        <v>27077.333333333328</v>
      </c>
      <c r="Y60" s="50">
        <v>19911.5</v>
      </c>
      <c r="Z60">
        <v>20002.75</v>
      </c>
      <c r="AA60" s="50">
        <f t="shared" si="6"/>
        <v>21366.466666666667</v>
      </c>
      <c r="AB60">
        <f t="shared" si="7"/>
        <v>3192.690841224512</v>
      </c>
      <c r="AC60">
        <f t="shared" si="8"/>
        <v>0.14942530700246079</v>
      </c>
    </row>
    <row r="61" spans="1:29" x14ac:dyDescent="0.35">
      <c r="A61" s="7" t="s">
        <v>79</v>
      </c>
      <c r="B61" t="s">
        <v>117</v>
      </c>
      <c r="D61">
        <v>6</v>
      </c>
      <c r="E61">
        <v>6</v>
      </c>
      <c r="F61">
        <v>5</v>
      </c>
      <c r="G61">
        <v>5</v>
      </c>
      <c r="H61">
        <v>4</v>
      </c>
      <c r="I61">
        <f t="shared" si="0"/>
        <v>5.2</v>
      </c>
      <c r="J61">
        <f t="shared" si="1"/>
        <v>0.83666002653407723</v>
      </c>
      <c r="K61">
        <f t="shared" si="2"/>
        <v>0.160896158948861</v>
      </c>
      <c r="M61" s="50">
        <v>74.5</v>
      </c>
      <c r="N61" s="50">
        <v>74.5</v>
      </c>
      <c r="O61" s="50">
        <v>89.4</v>
      </c>
      <c r="P61" s="50">
        <v>89.4</v>
      </c>
      <c r="Q61">
        <v>111.75</v>
      </c>
      <c r="R61" s="50">
        <f t="shared" si="3"/>
        <v>81.95</v>
      </c>
      <c r="S61" s="50">
        <f t="shared" si="4"/>
        <v>15.267956641279765</v>
      </c>
      <c r="T61">
        <f t="shared" si="5"/>
        <v>0.18630819574471952</v>
      </c>
      <c r="V61" s="50">
        <v>12855.66666666667</v>
      </c>
      <c r="W61" s="50">
        <v>12886.83333333333</v>
      </c>
      <c r="X61">
        <v>15636.6</v>
      </c>
      <c r="Y61" s="50">
        <v>15472.6</v>
      </c>
      <c r="Z61">
        <v>19416.75</v>
      </c>
      <c r="AA61" s="50">
        <f t="shared" si="6"/>
        <v>15253.689999999999</v>
      </c>
      <c r="AB61">
        <f t="shared" si="7"/>
        <v>2686.9190817530971</v>
      </c>
      <c r="AC61">
        <f t="shared" si="8"/>
        <v>0.17614879296439728</v>
      </c>
    </row>
    <row r="62" spans="1:29" x14ac:dyDescent="0.35">
      <c r="A62" s="7" t="s">
        <v>80</v>
      </c>
      <c r="B62" t="s">
        <v>117</v>
      </c>
      <c r="D62">
        <v>5</v>
      </c>
      <c r="E62">
        <v>6</v>
      </c>
      <c r="F62">
        <v>6</v>
      </c>
      <c r="G62">
        <v>6</v>
      </c>
      <c r="H62">
        <v>6</v>
      </c>
      <c r="I62">
        <f t="shared" si="0"/>
        <v>5.8</v>
      </c>
      <c r="J62">
        <f t="shared" si="1"/>
        <v>0.44721359549995787</v>
      </c>
      <c r="K62">
        <f t="shared" si="2"/>
        <v>7.7105792327578943E-2</v>
      </c>
      <c r="M62" s="50">
        <v>90.8</v>
      </c>
      <c r="N62" s="50">
        <v>75.666666666666671</v>
      </c>
      <c r="O62" s="50">
        <v>75.666666666666671</v>
      </c>
      <c r="P62" s="50">
        <v>75.666666666666671</v>
      </c>
      <c r="Q62">
        <v>75.666666666666671</v>
      </c>
      <c r="R62" s="50">
        <f t="shared" si="3"/>
        <v>79.45</v>
      </c>
      <c r="S62" s="50">
        <f t="shared" si="4"/>
        <v>6.7678324118993602</v>
      </c>
      <c r="T62">
        <f t="shared" si="5"/>
        <v>8.5183541999991938E-2</v>
      </c>
      <c r="V62" s="50">
        <v>15917.8</v>
      </c>
      <c r="W62" s="50">
        <v>13173.66666666667</v>
      </c>
      <c r="X62">
        <v>13183.83333333333</v>
      </c>
      <c r="Y62" s="50">
        <v>13191.83333333333</v>
      </c>
      <c r="Z62">
        <v>13184.83333333333</v>
      </c>
      <c r="AA62" s="50">
        <f t="shared" si="6"/>
        <v>13730.393333333332</v>
      </c>
      <c r="AB62">
        <f t="shared" si="7"/>
        <v>1222.814676019588</v>
      </c>
      <c r="AC62">
        <f t="shared" si="8"/>
        <v>8.9058969130254684E-2</v>
      </c>
    </row>
    <row r="63" spans="1:29" x14ac:dyDescent="0.35">
      <c r="A63" s="7" t="s">
        <v>81</v>
      </c>
      <c r="B63" t="s">
        <v>117</v>
      </c>
      <c r="D63">
        <v>4</v>
      </c>
      <c r="E63">
        <v>5</v>
      </c>
      <c r="F63">
        <v>5</v>
      </c>
      <c r="G63">
        <v>5</v>
      </c>
      <c r="H63">
        <v>4</v>
      </c>
      <c r="I63">
        <f t="shared" si="0"/>
        <v>4.5999999999999996</v>
      </c>
      <c r="J63">
        <f t="shared" si="1"/>
        <v>0.54772255750516674</v>
      </c>
      <c r="K63">
        <f t="shared" si="2"/>
        <v>0.11907012119677539</v>
      </c>
      <c r="M63" s="50">
        <v>109.75</v>
      </c>
      <c r="N63" s="50">
        <v>87.8</v>
      </c>
      <c r="O63" s="50">
        <v>87.8</v>
      </c>
      <c r="P63" s="50">
        <v>87.8</v>
      </c>
      <c r="Q63">
        <v>109.75</v>
      </c>
      <c r="R63" s="50">
        <f t="shared" si="3"/>
        <v>93.287500000000009</v>
      </c>
      <c r="S63" s="50">
        <f t="shared" si="4"/>
        <v>12.022510137238326</v>
      </c>
      <c r="T63">
        <f t="shared" si="5"/>
        <v>0.12887589588356774</v>
      </c>
      <c r="V63" s="50">
        <v>19272.25</v>
      </c>
      <c r="W63" s="50">
        <v>15145.8</v>
      </c>
      <c r="X63">
        <v>15410</v>
      </c>
      <c r="Y63" s="50">
        <v>15185.4</v>
      </c>
      <c r="Z63">
        <v>19239.25</v>
      </c>
      <c r="AA63" s="50">
        <f t="shared" si="6"/>
        <v>16850.54</v>
      </c>
      <c r="AB63">
        <f t="shared" si="7"/>
        <v>2197.9877141944817</v>
      </c>
      <c r="AC63">
        <f t="shared" si="8"/>
        <v>0.13044019445041413</v>
      </c>
    </row>
    <row r="64" spans="1:29" x14ac:dyDescent="0.35">
      <c r="A64" s="7" t="s">
        <v>82</v>
      </c>
      <c r="B64" t="s">
        <v>117</v>
      </c>
      <c r="D64">
        <v>5</v>
      </c>
      <c r="E64">
        <v>5</v>
      </c>
      <c r="F64">
        <v>5</v>
      </c>
      <c r="G64">
        <v>5</v>
      </c>
      <c r="H64">
        <v>5</v>
      </c>
      <c r="I64">
        <f t="shared" si="0"/>
        <v>5</v>
      </c>
      <c r="J64">
        <f t="shared" si="1"/>
        <v>0</v>
      </c>
      <c r="K64">
        <f t="shared" si="2"/>
        <v>0</v>
      </c>
      <c r="M64" s="50">
        <v>86.2</v>
      </c>
      <c r="N64" s="50">
        <v>86.2</v>
      </c>
      <c r="O64" s="50">
        <v>86.2</v>
      </c>
      <c r="P64" s="50">
        <v>86.2</v>
      </c>
      <c r="Q64">
        <v>86.2</v>
      </c>
      <c r="R64" s="50">
        <f t="shared" si="3"/>
        <v>86.2</v>
      </c>
      <c r="S64" s="50">
        <f t="shared" si="4"/>
        <v>0</v>
      </c>
      <c r="T64">
        <f t="shared" si="5"/>
        <v>0</v>
      </c>
      <c r="V64" s="50">
        <v>14556.2</v>
      </c>
      <c r="W64" s="50">
        <v>14552</v>
      </c>
      <c r="X64">
        <v>14604.8</v>
      </c>
      <c r="Y64" s="50">
        <v>14570.4</v>
      </c>
      <c r="Z64">
        <v>14536</v>
      </c>
      <c r="AA64" s="50">
        <f t="shared" si="6"/>
        <v>14563.88</v>
      </c>
      <c r="AB64">
        <f t="shared" si="7"/>
        <v>25.953650995572495</v>
      </c>
      <c r="AC64">
        <f t="shared" si="8"/>
        <v>1.7820560863981642E-3</v>
      </c>
    </row>
    <row r="65" spans="1:29" x14ac:dyDescent="0.35">
      <c r="A65" s="7" t="s">
        <v>83</v>
      </c>
      <c r="B65" t="s">
        <v>117</v>
      </c>
      <c r="D65">
        <v>6</v>
      </c>
      <c r="E65">
        <v>6</v>
      </c>
      <c r="F65">
        <v>7</v>
      </c>
      <c r="G65">
        <v>5</v>
      </c>
      <c r="H65">
        <v>5</v>
      </c>
      <c r="I65">
        <f t="shared" si="0"/>
        <v>5.8</v>
      </c>
      <c r="J65">
        <f t="shared" si="1"/>
        <v>0.83666002653407723</v>
      </c>
      <c r="K65">
        <f t="shared" si="2"/>
        <v>0.14425172871277195</v>
      </c>
      <c r="M65" s="50">
        <v>72.666666666666671</v>
      </c>
      <c r="N65" s="50">
        <v>72.666666666666671</v>
      </c>
      <c r="O65" s="50">
        <v>62.285714285714278</v>
      </c>
      <c r="P65" s="50">
        <v>87.2</v>
      </c>
      <c r="Q65">
        <v>87.2</v>
      </c>
      <c r="R65" s="50">
        <f t="shared" si="3"/>
        <v>73.704761904761909</v>
      </c>
      <c r="S65" s="50">
        <f t="shared" si="4"/>
        <v>10.728100300352375</v>
      </c>
      <c r="T65">
        <f t="shared" si="5"/>
        <v>0.14555504994663385</v>
      </c>
      <c r="V65" s="50">
        <v>12848.83333333333</v>
      </c>
      <c r="W65" s="50">
        <v>12796.33333333333</v>
      </c>
      <c r="X65">
        <v>10997.142857142861</v>
      </c>
      <c r="Y65" s="50">
        <v>15529.8</v>
      </c>
      <c r="Z65">
        <v>15503.4</v>
      </c>
      <c r="AA65" s="50">
        <f t="shared" si="6"/>
        <v>13535.101904761901</v>
      </c>
      <c r="AB65">
        <f t="shared" si="7"/>
        <v>1956.463490875645</v>
      </c>
      <c r="AC65">
        <f t="shared" si="8"/>
        <v>0.14454737796893311</v>
      </c>
    </row>
    <row r="66" spans="1:29" x14ac:dyDescent="0.35">
      <c r="A66" s="7" t="s">
        <v>84</v>
      </c>
      <c r="B66" t="s">
        <v>117</v>
      </c>
      <c r="D66">
        <v>4</v>
      </c>
      <c r="E66">
        <v>4</v>
      </c>
      <c r="F66">
        <v>4</v>
      </c>
      <c r="G66">
        <v>4</v>
      </c>
      <c r="H66">
        <v>8</v>
      </c>
      <c r="I66">
        <f t="shared" si="0"/>
        <v>4.8</v>
      </c>
      <c r="J66">
        <f t="shared" si="1"/>
        <v>1.7888543819998315</v>
      </c>
      <c r="K66">
        <f t="shared" si="2"/>
        <v>0.37267799624996489</v>
      </c>
      <c r="M66" s="50">
        <v>100</v>
      </c>
      <c r="N66" s="50">
        <v>100</v>
      </c>
      <c r="O66" s="50">
        <v>100</v>
      </c>
      <c r="P66" s="50">
        <v>100</v>
      </c>
      <c r="Q66">
        <v>50</v>
      </c>
      <c r="R66" s="50">
        <f t="shared" si="3"/>
        <v>100</v>
      </c>
      <c r="S66" s="50">
        <f t="shared" si="4"/>
        <v>22.360679774997898</v>
      </c>
      <c r="T66">
        <f t="shared" si="5"/>
        <v>0.22360679774997899</v>
      </c>
      <c r="V66" s="50">
        <v>16694</v>
      </c>
      <c r="W66" s="50">
        <v>16824.25</v>
      </c>
      <c r="X66">
        <v>16677.75</v>
      </c>
      <c r="Y66" s="50">
        <v>16736</v>
      </c>
      <c r="Z66">
        <v>8282.5</v>
      </c>
      <c r="AA66" s="50">
        <f t="shared" si="6"/>
        <v>15042.9</v>
      </c>
      <c r="AB66">
        <f t="shared" si="7"/>
        <v>3779.6054465049669</v>
      </c>
      <c r="AC66">
        <f t="shared" si="8"/>
        <v>0.25125510682813601</v>
      </c>
    </row>
    <row r="67" spans="1:29" x14ac:dyDescent="0.35">
      <c r="A67" s="7" t="s">
        <v>85</v>
      </c>
      <c r="B67" t="s">
        <v>117</v>
      </c>
      <c r="D67">
        <v>3</v>
      </c>
      <c r="E67">
        <v>4</v>
      </c>
      <c r="F67">
        <v>4</v>
      </c>
      <c r="G67">
        <v>4</v>
      </c>
      <c r="H67">
        <v>5</v>
      </c>
      <c r="I67">
        <f t="shared" si="0"/>
        <v>4</v>
      </c>
      <c r="J67">
        <f t="shared" si="1"/>
        <v>0.70710678118654757</v>
      </c>
      <c r="K67">
        <f t="shared" si="2"/>
        <v>0.17677669529663689</v>
      </c>
      <c r="M67" s="50">
        <v>147.33333333333329</v>
      </c>
      <c r="N67" s="50">
        <v>110.5</v>
      </c>
      <c r="O67" s="50">
        <v>110.5</v>
      </c>
      <c r="P67" s="50">
        <v>110.5</v>
      </c>
      <c r="Q67">
        <v>88.4</v>
      </c>
      <c r="R67" s="50">
        <f t="shared" si="3"/>
        <v>119.70833333333331</v>
      </c>
      <c r="S67" s="50">
        <f t="shared" si="4"/>
        <v>21.223160828574915</v>
      </c>
      <c r="T67">
        <f t="shared" si="5"/>
        <v>0.17729058819554405</v>
      </c>
      <c r="V67" s="50">
        <v>26136.666666666672</v>
      </c>
      <c r="W67" s="50">
        <v>19268.5</v>
      </c>
      <c r="X67">
        <v>19120.5</v>
      </c>
      <c r="Y67" s="50">
        <v>19247.75</v>
      </c>
      <c r="Z67">
        <v>15301.2</v>
      </c>
      <c r="AA67" s="50">
        <f t="shared" si="6"/>
        <v>19814.923333333332</v>
      </c>
      <c r="AB67">
        <f t="shared" si="7"/>
        <v>3919.203519771454</v>
      </c>
      <c r="AC67">
        <f t="shared" si="8"/>
        <v>0.19779049627602838</v>
      </c>
    </row>
    <row r="68" spans="1:29" x14ac:dyDescent="0.35">
      <c r="A68" s="7" t="s">
        <v>86</v>
      </c>
      <c r="B68" t="s">
        <v>117</v>
      </c>
      <c r="D68">
        <v>5</v>
      </c>
      <c r="E68">
        <v>4</v>
      </c>
      <c r="F68">
        <v>5</v>
      </c>
      <c r="G68">
        <v>4</v>
      </c>
      <c r="H68">
        <v>4</v>
      </c>
      <c r="I68">
        <f t="shared" ref="I68:I114" si="9">AVERAGE(D68:H68)</f>
        <v>4.4000000000000004</v>
      </c>
      <c r="J68">
        <f t="shared" ref="J68:J114" si="10">_xlfn.STDEV.S(D68:H68)</f>
        <v>0.54772255750516674</v>
      </c>
      <c r="K68">
        <f t="shared" ref="K68:K114" si="11">J68/I68</f>
        <v>0.12448239943299243</v>
      </c>
      <c r="M68" s="50">
        <v>77.400000000000006</v>
      </c>
      <c r="N68" s="50">
        <v>96.75</v>
      </c>
      <c r="O68" s="50">
        <v>77.400000000000006</v>
      </c>
      <c r="P68" s="50">
        <v>96.75</v>
      </c>
      <c r="Q68">
        <v>96.75</v>
      </c>
      <c r="R68" s="50">
        <f t="shared" ref="R68:R114" si="12">AVERAGE(M68:P68)</f>
        <v>87.075000000000003</v>
      </c>
      <c r="S68" s="50">
        <f t="shared" ref="S68:S114" si="13">_xlfn.STDEV.S(M68:Q68)</f>
        <v>10.598431487724973</v>
      </c>
      <c r="T68">
        <f t="shared" ref="T68:T114" si="14">S68/R68</f>
        <v>0.12171612389003701</v>
      </c>
      <c r="V68" s="50">
        <v>12914.6</v>
      </c>
      <c r="W68" s="50">
        <v>16248.5</v>
      </c>
      <c r="X68">
        <v>12920.8</v>
      </c>
      <c r="Y68" s="50">
        <v>16167</v>
      </c>
      <c r="Z68">
        <v>16093.75</v>
      </c>
      <c r="AA68" s="50">
        <f t="shared" ref="AA68:AA114" si="15">AVERAGE(V68:Z68)</f>
        <v>14868.929999999998</v>
      </c>
      <c r="AB68">
        <f t="shared" ref="AB68:AB114" si="16">_xlfn.STDEV.S(V68:Z68)</f>
        <v>1782.0633678407744</v>
      </c>
      <c r="AC68">
        <f t="shared" ref="AC68:AC114" si="17">AB68/AA68</f>
        <v>0.11985148681450343</v>
      </c>
    </row>
    <row r="69" spans="1:29" x14ac:dyDescent="0.35">
      <c r="A69" s="7" t="s">
        <v>87</v>
      </c>
      <c r="B69" t="s">
        <v>117</v>
      </c>
      <c r="D69">
        <v>4</v>
      </c>
      <c r="E69">
        <v>5</v>
      </c>
      <c r="F69">
        <v>5</v>
      </c>
      <c r="G69">
        <v>4</v>
      </c>
      <c r="H69">
        <v>3</v>
      </c>
      <c r="I69">
        <f t="shared" si="9"/>
        <v>4.2</v>
      </c>
      <c r="J69">
        <f t="shared" si="10"/>
        <v>0.83666002653407512</v>
      </c>
      <c r="K69">
        <f t="shared" si="11"/>
        <v>0.19920476822239883</v>
      </c>
      <c r="M69" s="50">
        <v>96.5</v>
      </c>
      <c r="N69" s="50">
        <v>77.2</v>
      </c>
      <c r="O69" s="50">
        <v>77.2</v>
      </c>
      <c r="P69" s="50">
        <v>96.5</v>
      </c>
      <c r="Q69">
        <v>128.66666666666671</v>
      </c>
      <c r="R69" s="50">
        <f t="shared" si="12"/>
        <v>86.85</v>
      </c>
      <c r="S69" s="50">
        <f t="shared" si="13"/>
        <v>21.0439830408177</v>
      </c>
      <c r="T69">
        <f t="shared" si="14"/>
        <v>0.24230262568586874</v>
      </c>
      <c r="V69" s="50">
        <v>16133.25</v>
      </c>
      <c r="W69" s="50">
        <v>12865</v>
      </c>
      <c r="X69">
        <v>12865.8</v>
      </c>
      <c r="Y69" s="50">
        <v>16163.25</v>
      </c>
      <c r="Z69">
        <v>21703.333333333328</v>
      </c>
      <c r="AA69" s="50">
        <f t="shared" si="15"/>
        <v>15946.126666666667</v>
      </c>
      <c r="AB69">
        <f t="shared" si="16"/>
        <v>3612.8015512856764</v>
      </c>
      <c r="AC69">
        <f t="shared" si="17"/>
        <v>0.22656295329935983</v>
      </c>
    </row>
    <row r="70" spans="1:29" x14ac:dyDescent="0.35">
      <c r="A70" s="7" t="s">
        <v>88</v>
      </c>
      <c r="B70" t="s">
        <v>117</v>
      </c>
      <c r="D70">
        <v>5</v>
      </c>
      <c r="E70">
        <v>5</v>
      </c>
      <c r="F70">
        <v>5</v>
      </c>
      <c r="G70">
        <v>5</v>
      </c>
      <c r="H70">
        <v>4</v>
      </c>
      <c r="I70">
        <f t="shared" si="9"/>
        <v>4.8</v>
      </c>
      <c r="J70">
        <f t="shared" si="10"/>
        <v>0.44721359549995793</v>
      </c>
      <c r="K70">
        <f t="shared" si="11"/>
        <v>9.3169499062491237E-2</v>
      </c>
      <c r="M70" s="50">
        <v>77.400000000000006</v>
      </c>
      <c r="N70" s="50">
        <v>77.400000000000006</v>
      </c>
      <c r="O70" s="50">
        <v>77.400000000000006</v>
      </c>
      <c r="P70" s="50">
        <v>77.400000000000006</v>
      </c>
      <c r="Q70">
        <v>96.75</v>
      </c>
      <c r="R70" s="50">
        <f t="shared" si="12"/>
        <v>77.400000000000006</v>
      </c>
      <c r="S70" s="50">
        <f t="shared" si="13"/>
        <v>8.6535830729241834</v>
      </c>
      <c r="T70">
        <f t="shared" si="14"/>
        <v>0.11180339887498944</v>
      </c>
      <c r="V70" s="50">
        <v>12631.8</v>
      </c>
      <c r="W70" s="50">
        <v>12621.8</v>
      </c>
      <c r="X70">
        <v>12645.2</v>
      </c>
      <c r="Y70" s="50">
        <v>12607.8</v>
      </c>
      <c r="Z70">
        <v>15826.5</v>
      </c>
      <c r="AA70" s="50">
        <f t="shared" si="15"/>
        <v>13266.62</v>
      </c>
      <c r="AB70">
        <f t="shared" si="16"/>
        <v>1431.0818886422958</v>
      </c>
      <c r="AC70">
        <f t="shared" si="17"/>
        <v>0.1078708735640499</v>
      </c>
    </row>
    <row r="71" spans="1:29" x14ac:dyDescent="0.35">
      <c r="A71" s="7" t="s">
        <v>89</v>
      </c>
      <c r="B71" t="s">
        <v>117</v>
      </c>
      <c r="D71">
        <v>7</v>
      </c>
      <c r="E71">
        <v>7</v>
      </c>
      <c r="F71">
        <v>6</v>
      </c>
      <c r="G71">
        <v>8</v>
      </c>
      <c r="H71">
        <v>6</v>
      </c>
      <c r="I71">
        <f t="shared" si="9"/>
        <v>6.8</v>
      </c>
      <c r="J71">
        <f t="shared" si="10"/>
        <v>0.83666002653407723</v>
      </c>
      <c r="K71">
        <f t="shared" si="11"/>
        <v>0.12303823919618784</v>
      </c>
      <c r="M71" s="50">
        <v>64.142857142857139</v>
      </c>
      <c r="N71" s="50">
        <v>64.142857142857139</v>
      </c>
      <c r="O71" s="50">
        <v>74.833333333333329</v>
      </c>
      <c r="P71" s="50">
        <v>56.125</v>
      </c>
      <c r="Q71">
        <v>74.833333333333329</v>
      </c>
      <c r="R71" s="50">
        <f t="shared" si="12"/>
        <v>64.811011904761898</v>
      </c>
      <c r="S71" s="50">
        <f t="shared" si="13"/>
        <v>8.0178571428572134</v>
      </c>
      <c r="T71">
        <f t="shared" si="14"/>
        <v>0.12371134020618667</v>
      </c>
      <c r="V71" s="50">
        <v>11291.857142857139</v>
      </c>
      <c r="W71" s="50">
        <v>11258.571428571429</v>
      </c>
      <c r="X71">
        <v>13158.83333333333</v>
      </c>
      <c r="Y71" s="50">
        <v>9868.5</v>
      </c>
      <c r="Z71">
        <v>13221.16666666667</v>
      </c>
      <c r="AA71" s="50">
        <f t="shared" si="15"/>
        <v>11759.785714285714</v>
      </c>
      <c r="AB71">
        <f t="shared" si="16"/>
        <v>1426.5432949589272</v>
      </c>
      <c r="AC71">
        <f t="shared" si="17"/>
        <v>0.12130691235521165</v>
      </c>
    </row>
    <row r="72" spans="1:29" x14ac:dyDescent="0.35">
      <c r="A72" s="7" t="s">
        <v>90</v>
      </c>
      <c r="B72" t="s">
        <v>117</v>
      </c>
      <c r="D72">
        <v>5</v>
      </c>
      <c r="E72">
        <v>8</v>
      </c>
      <c r="F72">
        <v>4</v>
      </c>
      <c r="G72">
        <v>7</v>
      </c>
      <c r="H72">
        <v>5</v>
      </c>
      <c r="I72">
        <f t="shared" si="9"/>
        <v>5.8</v>
      </c>
      <c r="J72">
        <f t="shared" si="10"/>
        <v>1.6431676725154991</v>
      </c>
      <c r="K72">
        <f t="shared" si="11"/>
        <v>0.28330477112336194</v>
      </c>
      <c r="M72" s="50">
        <v>90</v>
      </c>
      <c r="N72" s="50">
        <v>56.25</v>
      </c>
      <c r="O72" s="50">
        <v>112.5</v>
      </c>
      <c r="P72" s="50">
        <v>64.285714285714292</v>
      </c>
      <c r="Q72">
        <v>90</v>
      </c>
      <c r="R72" s="50">
        <f t="shared" si="12"/>
        <v>80.758928571428569</v>
      </c>
      <c r="S72" s="50">
        <f t="shared" si="13"/>
        <v>22.545871607250231</v>
      </c>
      <c r="T72">
        <f t="shared" si="14"/>
        <v>0.27917497180895806</v>
      </c>
      <c r="V72" s="50">
        <v>15721.8</v>
      </c>
      <c r="W72" s="50">
        <v>9690</v>
      </c>
      <c r="X72" s="50">
        <v>19549</v>
      </c>
      <c r="Y72" s="50">
        <v>11105.142857142861</v>
      </c>
      <c r="Z72">
        <v>15617.2</v>
      </c>
      <c r="AA72" s="50">
        <f t="shared" si="15"/>
        <v>14336.628571428573</v>
      </c>
      <c r="AB72">
        <f t="shared" si="16"/>
        <v>3961.0931566311465</v>
      </c>
      <c r="AC72">
        <f t="shared" si="17"/>
        <v>0.27629181692864652</v>
      </c>
    </row>
    <row r="73" spans="1:29" x14ac:dyDescent="0.35">
      <c r="A73" s="7" t="s">
        <v>91</v>
      </c>
      <c r="B73" t="s">
        <v>117</v>
      </c>
      <c r="D73">
        <v>5</v>
      </c>
      <c r="E73">
        <v>4</v>
      </c>
      <c r="F73">
        <v>4</v>
      </c>
      <c r="G73">
        <v>4</v>
      </c>
      <c r="H73">
        <v>4</v>
      </c>
      <c r="I73">
        <f t="shared" si="9"/>
        <v>4.2</v>
      </c>
      <c r="J73">
        <f t="shared" si="10"/>
        <v>0.44721359549995787</v>
      </c>
      <c r="K73">
        <f t="shared" si="11"/>
        <v>0.10647942749998997</v>
      </c>
      <c r="M73" s="50">
        <v>89</v>
      </c>
      <c r="N73" s="50">
        <v>111.25</v>
      </c>
      <c r="O73" s="50">
        <v>111.25</v>
      </c>
      <c r="P73" s="50">
        <v>111.25</v>
      </c>
      <c r="Q73">
        <v>111.25</v>
      </c>
      <c r="R73" s="50">
        <f t="shared" si="12"/>
        <v>105.6875</v>
      </c>
      <c r="S73" s="50">
        <f t="shared" si="13"/>
        <v>9.9505024998740641</v>
      </c>
      <c r="T73">
        <f t="shared" si="14"/>
        <v>9.4150230631570089E-2</v>
      </c>
      <c r="V73" s="50">
        <v>15196.2</v>
      </c>
      <c r="W73" s="50">
        <v>18813</v>
      </c>
      <c r="X73" s="50">
        <v>18866.75</v>
      </c>
      <c r="Y73" s="50">
        <v>18816.25</v>
      </c>
      <c r="Z73">
        <v>18999.5</v>
      </c>
      <c r="AA73" s="50">
        <f t="shared" si="15"/>
        <v>18138.34</v>
      </c>
      <c r="AB73">
        <f t="shared" si="16"/>
        <v>1646.4426452962152</v>
      </c>
      <c r="AC73">
        <f t="shared" si="17"/>
        <v>9.077140715722691E-2</v>
      </c>
    </row>
    <row r="74" spans="1:29" x14ac:dyDescent="0.35">
      <c r="A74" s="7" t="s">
        <v>92</v>
      </c>
      <c r="B74" t="s">
        <v>117</v>
      </c>
      <c r="D74">
        <v>4</v>
      </c>
      <c r="E74">
        <v>5</v>
      </c>
      <c r="F74">
        <v>4</v>
      </c>
      <c r="G74">
        <v>7</v>
      </c>
      <c r="H74">
        <v>4</v>
      </c>
      <c r="I74">
        <f t="shared" si="9"/>
        <v>4.8</v>
      </c>
      <c r="J74">
        <f t="shared" si="10"/>
        <v>1.3038404810405295</v>
      </c>
      <c r="K74">
        <f t="shared" si="11"/>
        <v>0.27163343355011033</v>
      </c>
      <c r="M74" s="50">
        <v>111.75</v>
      </c>
      <c r="N74" s="50">
        <v>89.4</v>
      </c>
      <c r="O74" s="50">
        <v>111.75</v>
      </c>
      <c r="P74" s="50">
        <v>63.857142857142847</v>
      </c>
      <c r="Q74">
        <v>111.75</v>
      </c>
      <c r="R74" s="50">
        <f t="shared" si="12"/>
        <v>94.189285714285703</v>
      </c>
      <c r="S74" s="50">
        <f t="shared" si="13"/>
        <v>21.251096850443773</v>
      </c>
      <c r="T74">
        <f t="shared" si="14"/>
        <v>0.22562117006500046</v>
      </c>
      <c r="V74" s="50">
        <v>19434.25</v>
      </c>
      <c r="W74" s="50">
        <v>15395.2</v>
      </c>
      <c r="X74" s="50">
        <v>19367.25</v>
      </c>
      <c r="Y74" s="50">
        <v>10975.142857142861</v>
      </c>
      <c r="Z74">
        <v>19321.5</v>
      </c>
      <c r="AA74" s="50">
        <f t="shared" si="15"/>
        <v>16898.66857142857</v>
      </c>
      <c r="AB74">
        <f t="shared" si="16"/>
        <v>3733.0200312466613</v>
      </c>
      <c r="AC74">
        <f t="shared" si="17"/>
        <v>0.22090616284162565</v>
      </c>
    </row>
    <row r="75" spans="1:29" x14ac:dyDescent="0.35">
      <c r="A75" s="7" t="s">
        <v>93</v>
      </c>
      <c r="B75" t="s">
        <v>118</v>
      </c>
      <c r="D75">
        <v>3</v>
      </c>
      <c r="E75">
        <v>3</v>
      </c>
      <c r="F75">
        <v>4</v>
      </c>
      <c r="G75">
        <v>4</v>
      </c>
      <c r="H75">
        <v>4</v>
      </c>
      <c r="I75">
        <f t="shared" si="9"/>
        <v>3.6</v>
      </c>
      <c r="J75">
        <f t="shared" si="10"/>
        <v>0.54772255750516674</v>
      </c>
      <c r="K75">
        <f t="shared" si="11"/>
        <v>0.15214515486254632</v>
      </c>
      <c r="M75" s="50">
        <v>181.66666666666671</v>
      </c>
      <c r="N75" s="50">
        <v>181.66666666666671</v>
      </c>
      <c r="O75" s="50">
        <v>136.25</v>
      </c>
      <c r="P75" s="50">
        <v>136.25</v>
      </c>
      <c r="Q75">
        <v>136.25</v>
      </c>
      <c r="R75" s="50">
        <f t="shared" si="12"/>
        <v>158.95833333333337</v>
      </c>
      <c r="S75" s="50">
        <f t="shared" si="13"/>
        <v>24.875732820026197</v>
      </c>
      <c r="T75">
        <f t="shared" si="14"/>
        <v>0.15649215928718968</v>
      </c>
      <c r="V75" s="50">
        <v>46918</v>
      </c>
      <c r="W75" s="50">
        <v>47243</v>
      </c>
      <c r="X75" s="50">
        <v>34920</v>
      </c>
      <c r="Y75" s="50">
        <v>35254.5</v>
      </c>
      <c r="Z75">
        <v>35108.75</v>
      </c>
      <c r="AA75" s="50">
        <f t="shared" si="15"/>
        <v>39888.85</v>
      </c>
      <c r="AB75">
        <f t="shared" si="16"/>
        <v>6567.1245267620707</v>
      </c>
      <c r="AC75">
        <f t="shared" si="17"/>
        <v>0.16463559432678734</v>
      </c>
    </row>
    <row r="76" spans="1:29" x14ac:dyDescent="0.35">
      <c r="A76" s="7" t="s">
        <v>94</v>
      </c>
      <c r="B76" t="s">
        <v>118</v>
      </c>
      <c r="D76">
        <v>4</v>
      </c>
      <c r="E76">
        <v>3</v>
      </c>
      <c r="F76">
        <v>5</v>
      </c>
      <c r="G76">
        <v>5</v>
      </c>
      <c r="H76">
        <v>7</v>
      </c>
      <c r="I76">
        <f t="shared" si="9"/>
        <v>4.8</v>
      </c>
      <c r="J76">
        <f t="shared" si="10"/>
        <v>1.4832396974191324</v>
      </c>
      <c r="K76">
        <f t="shared" si="11"/>
        <v>0.30900827029565259</v>
      </c>
      <c r="M76" s="50">
        <v>157.5</v>
      </c>
      <c r="N76" s="50">
        <v>210</v>
      </c>
      <c r="O76" s="50">
        <v>126</v>
      </c>
      <c r="P76" s="50">
        <v>126</v>
      </c>
      <c r="Q76">
        <v>90</v>
      </c>
      <c r="R76" s="50">
        <f t="shared" si="12"/>
        <v>154.875</v>
      </c>
      <c r="S76" s="50">
        <f t="shared" si="13"/>
        <v>44.944966347745762</v>
      </c>
      <c r="T76">
        <f t="shared" si="14"/>
        <v>0.29020155833895567</v>
      </c>
      <c r="V76" s="50">
        <v>38209</v>
      </c>
      <c r="W76" s="50">
        <v>51999</v>
      </c>
      <c r="X76" s="50">
        <v>30638.2</v>
      </c>
      <c r="Y76" s="50">
        <v>30308.799999999999</v>
      </c>
      <c r="Z76">
        <v>21576.428571428569</v>
      </c>
      <c r="AA76" s="50">
        <f t="shared" si="15"/>
        <v>34546.285714285717</v>
      </c>
      <c r="AB76">
        <f t="shared" si="16"/>
        <v>11395.825171007271</v>
      </c>
      <c r="AC76">
        <f t="shared" si="17"/>
        <v>0.32987121293606464</v>
      </c>
    </row>
    <row r="77" spans="1:29" x14ac:dyDescent="0.35">
      <c r="A77" s="7" t="s">
        <v>95</v>
      </c>
      <c r="B77" t="s">
        <v>118</v>
      </c>
      <c r="D77">
        <v>5</v>
      </c>
      <c r="E77">
        <v>6</v>
      </c>
      <c r="F77">
        <v>4</v>
      </c>
      <c r="G77">
        <v>4</v>
      </c>
      <c r="H77">
        <v>4</v>
      </c>
      <c r="I77">
        <f t="shared" si="9"/>
        <v>4.5999999999999996</v>
      </c>
      <c r="J77">
        <f t="shared" si="10"/>
        <v>0.8944271909999163</v>
      </c>
      <c r="K77">
        <f t="shared" si="11"/>
        <v>0.19444069369563399</v>
      </c>
      <c r="M77" s="50">
        <v>126.2</v>
      </c>
      <c r="N77" s="50">
        <v>105.1666666666667</v>
      </c>
      <c r="O77" s="50">
        <v>157.75</v>
      </c>
      <c r="P77" s="50">
        <v>157.75</v>
      </c>
      <c r="Q77">
        <v>157.75</v>
      </c>
      <c r="R77" s="50">
        <f t="shared" si="12"/>
        <v>136.71666666666667</v>
      </c>
      <c r="S77" s="50">
        <f t="shared" si="13"/>
        <v>24.211184857875555</v>
      </c>
      <c r="T77">
        <f t="shared" si="14"/>
        <v>0.1770902220495591</v>
      </c>
      <c r="V77" s="50">
        <v>30927.599999999999</v>
      </c>
      <c r="W77" s="50">
        <v>25832.833333333328</v>
      </c>
      <c r="X77" s="50">
        <v>38854.5</v>
      </c>
      <c r="Y77" s="50">
        <v>39293.25</v>
      </c>
      <c r="Z77">
        <v>39121.5</v>
      </c>
      <c r="AA77" s="50">
        <f t="shared" si="15"/>
        <v>34805.936666666661</v>
      </c>
      <c r="AB77">
        <f t="shared" si="16"/>
        <v>6138.1799344394894</v>
      </c>
      <c r="AC77">
        <f t="shared" si="17"/>
        <v>0.17635439589585791</v>
      </c>
    </row>
    <row r="78" spans="1:29" x14ac:dyDescent="0.35">
      <c r="A78" s="7" t="s">
        <v>96</v>
      </c>
      <c r="B78" t="s">
        <v>118</v>
      </c>
      <c r="D78">
        <v>5</v>
      </c>
      <c r="E78">
        <v>6</v>
      </c>
      <c r="F78">
        <v>4</v>
      </c>
      <c r="G78">
        <v>6</v>
      </c>
      <c r="H78">
        <v>5</v>
      </c>
      <c r="I78">
        <f t="shared" si="9"/>
        <v>5.2</v>
      </c>
      <c r="J78">
        <f t="shared" si="10"/>
        <v>0.83666002653407723</v>
      </c>
      <c r="K78">
        <f t="shared" si="11"/>
        <v>0.160896158948861</v>
      </c>
      <c r="M78" s="50">
        <v>127.2</v>
      </c>
      <c r="N78" s="50">
        <v>106</v>
      </c>
      <c r="O78" s="50">
        <v>159</v>
      </c>
      <c r="P78" s="50">
        <v>106</v>
      </c>
      <c r="Q78">
        <v>127.2</v>
      </c>
      <c r="R78" s="50">
        <f t="shared" si="12"/>
        <v>124.55</v>
      </c>
      <c r="S78" s="50">
        <f t="shared" si="13"/>
        <v>21.723535623834355</v>
      </c>
      <c r="T78">
        <f t="shared" si="14"/>
        <v>0.17441618325037619</v>
      </c>
      <c r="V78" s="50">
        <v>31638.799999999999</v>
      </c>
      <c r="W78" s="50">
        <v>26638.833333333328</v>
      </c>
      <c r="X78" s="50">
        <v>39562.75</v>
      </c>
      <c r="Y78" s="50">
        <v>26344</v>
      </c>
      <c r="Z78">
        <v>31813.599999999999</v>
      </c>
      <c r="AA78" s="50">
        <f t="shared" si="15"/>
        <v>31199.596666666668</v>
      </c>
      <c r="AB78">
        <f t="shared" si="16"/>
        <v>5359.3286545569654</v>
      </c>
      <c r="AC78">
        <f t="shared" si="17"/>
        <v>0.17177557491577503</v>
      </c>
    </row>
    <row r="79" spans="1:29" x14ac:dyDescent="0.35">
      <c r="A79" s="7" t="s">
        <v>97</v>
      </c>
      <c r="B79" t="s">
        <v>118</v>
      </c>
      <c r="D79">
        <v>5</v>
      </c>
      <c r="E79">
        <v>3</v>
      </c>
      <c r="F79">
        <v>6</v>
      </c>
      <c r="G79">
        <v>7</v>
      </c>
      <c r="H79">
        <v>4</v>
      </c>
      <c r="I79">
        <f t="shared" si="9"/>
        <v>5</v>
      </c>
      <c r="J79">
        <f t="shared" si="10"/>
        <v>1.5811388300841898</v>
      </c>
      <c r="K79">
        <f t="shared" si="11"/>
        <v>0.31622776601683794</v>
      </c>
      <c r="M79" s="50">
        <v>128.80000000000001</v>
      </c>
      <c r="N79" s="50">
        <v>214.66666666666671</v>
      </c>
      <c r="O79" s="50">
        <v>107.3333333333333</v>
      </c>
      <c r="P79" s="50">
        <v>92</v>
      </c>
      <c r="Q79">
        <v>161</v>
      </c>
      <c r="R79" s="50">
        <f t="shared" si="12"/>
        <v>135.69999999999999</v>
      </c>
      <c r="S79" s="50">
        <f t="shared" si="13"/>
        <v>48.75903562987645</v>
      </c>
      <c r="T79">
        <f t="shared" si="14"/>
        <v>0.35931492726511755</v>
      </c>
      <c r="V79" s="50">
        <v>31038.6</v>
      </c>
      <c r="W79" s="50">
        <v>54725.666666666657</v>
      </c>
      <c r="X79" s="50">
        <v>25726.833333333328</v>
      </c>
      <c r="Y79" s="50">
        <v>21943.71428571429</v>
      </c>
      <c r="Z79">
        <v>39003.75</v>
      </c>
      <c r="AA79" s="50">
        <f t="shared" si="15"/>
        <v>34487.712857142862</v>
      </c>
      <c r="AB79">
        <f t="shared" si="16"/>
        <v>12999.717838900373</v>
      </c>
      <c r="AC79">
        <f t="shared" si="17"/>
        <v>0.37693766161730147</v>
      </c>
    </row>
    <row r="80" spans="1:29" x14ac:dyDescent="0.35">
      <c r="A80" s="7" t="s">
        <v>98</v>
      </c>
      <c r="B80" t="s">
        <v>118</v>
      </c>
      <c r="D80">
        <v>9</v>
      </c>
      <c r="E80">
        <v>6</v>
      </c>
      <c r="F80">
        <v>5</v>
      </c>
      <c r="G80">
        <v>6</v>
      </c>
      <c r="H80">
        <v>8</v>
      </c>
      <c r="I80">
        <f t="shared" si="9"/>
        <v>6.8</v>
      </c>
      <c r="J80">
        <f t="shared" si="10"/>
        <v>1.6431676725154991</v>
      </c>
      <c r="K80">
        <f t="shared" si="11"/>
        <v>0.24164230478169105</v>
      </c>
      <c r="M80" s="50">
        <v>70.777777777777771</v>
      </c>
      <c r="N80" s="50">
        <v>106.1666666666667</v>
      </c>
      <c r="O80" s="50">
        <v>127.4</v>
      </c>
      <c r="P80" s="50">
        <v>106.1666666666667</v>
      </c>
      <c r="Q80">
        <v>79.625</v>
      </c>
      <c r="R80" s="50">
        <f t="shared" si="12"/>
        <v>102.62777777777778</v>
      </c>
      <c r="S80" s="50">
        <f t="shared" si="13"/>
        <v>22.78395922221403</v>
      </c>
      <c r="T80">
        <f t="shared" si="14"/>
        <v>0.22200577383199943</v>
      </c>
      <c r="V80" s="50">
        <v>16795.666666666672</v>
      </c>
      <c r="W80" s="50">
        <v>25200</v>
      </c>
      <c r="X80" s="50">
        <v>30300.6</v>
      </c>
      <c r="Y80" s="50">
        <v>25339.333333333328</v>
      </c>
      <c r="Z80">
        <v>18871.25</v>
      </c>
      <c r="AA80" s="50">
        <f t="shared" si="15"/>
        <v>23301.37</v>
      </c>
      <c r="AB80">
        <f t="shared" si="16"/>
        <v>5447.4179684864448</v>
      </c>
      <c r="AC80">
        <f t="shared" si="17"/>
        <v>0.23378101667354517</v>
      </c>
    </row>
    <row r="81" spans="1:29" x14ac:dyDescent="0.35">
      <c r="A81" s="7" t="s">
        <v>99</v>
      </c>
      <c r="B81" t="s">
        <v>118</v>
      </c>
      <c r="D81">
        <v>4</v>
      </c>
      <c r="E81">
        <v>5</v>
      </c>
      <c r="F81">
        <v>4</v>
      </c>
      <c r="G81">
        <v>4</v>
      </c>
      <c r="H81">
        <v>5</v>
      </c>
      <c r="I81">
        <f t="shared" si="9"/>
        <v>4.4000000000000004</v>
      </c>
      <c r="J81">
        <f t="shared" si="10"/>
        <v>0.54772255750516674</v>
      </c>
      <c r="K81">
        <f t="shared" si="11"/>
        <v>0.12448239943299243</v>
      </c>
      <c r="M81" s="50">
        <v>158.25</v>
      </c>
      <c r="N81" s="50">
        <v>126.6</v>
      </c>
      <c r="O81" s="50">
        <v>158.25</v>
      </c>
      <c r="P81" s="50">
        <v>158.25</v>
      </c>
      <c r="Q81">
        <v>126.6</v>
      </c>
      <c r="R81" s="50">
        <f t="shared" si="12"/>
        <v>150.33750000000001</v>
      </c>
      <c r="S81" s="50">
        <f t="shared" si="13"/>
        <v>17.335418945038473</v>
      </c>
      <c r="T81">
        <f t="shared" si="14"/>
        <v>0.11531001210635053</v>
      </c>
      <c r="V81" s="50">
        <v>38207.25</v>
      </c>
      <c r="W81" s="50">
        <v>30716.6</v>
      </c>
      <c r="X81" s="50">
        <v>38307.5</v>
      </c>
      <c r="Y81" s="50">
        <v>38255.25</v>
      </c>
      <c r="Z81">
        <v>30574</v>
      </c>
      <c r="AA81" s="50">
        <f t="shared" si="15"/>
        <v>35212.120000000003</v>
      </c>
      <c r="AB81">
        <f t="shared" si="16"/>
        <v>4169.3728084389186</v>
      </c>
      <c r="AC81">
        <f t="shared" si="17"/>
        <v>0.11840732135522991</v>
      </c>
    </row>
    <row r="82" spans="1:29" x14ac:dyDescent="0.35">
      <c r="A82" s="7" t="s">
        <v>100</v>
      </c>
      <c r="B82" t="s">
        <v>118</v>
      </c>
      <c r="D82">
        <v>8</v>
      </c>
      <c r="E82">
        <v>7</v>
      </c>
      <c r="F82">
        <v>6</v>
      </c>
      <c r="G82">
        <v>8</v>
      </c>
      <c r="H82">
        <v>7</v>
      </c>
      <c r="I82">
        <f t="shared" si="9"/>
        <v>7.2</v>
      </c>
      <c r="J82">
        <f t="shared" si="10"/>
        <v>0.83666002653407723</v>
      </c>
      <c r="K82">
        <f t="shared" si="11"/>
        <v>0.11620278146306628</v>
      </c>
      <c r="M82" s="50">
        <v>79.625</v>
      </c>
      <c r="N82" s="50">
        <v>91</v>
      </c>
      <c r="O82" s="50">
        <v>106.1666666666667</v>
      </c>
      <c r="P82" s="50">
        <v>79.625</v>
      </c>
      <c r="Q82">
        <v>91</v>
      </c>
      <c r="R82" s="50">
        <f t="shared" si="12"/>
        <v>89.104166666666671</v>
      </c>
      <c r="S82" s="50">
        <f t="shared" si="13"/>
        <v>10.923685720590084</v>
      </c>
      <c r="T82">
        <f t="shared" si="14"/>
        <v>0.12259455566713211</v>
      </c>
      <c r="V82" s="50">
        <v>19430.25</v>
      </c>
      <c r="W82" s="50">
        <v>22197.571428571431</v>
      </c>
      <c r="X82" s="50">
        <v>26150.833333333328</v>
      </c>
      <c r="Y82" s="50">
        <v>19537.5</v>
      </c>
      <c r="Z82">
        <v>22209.428571428569</v>
      </c>
      <c r="AA82" s="50">
        <f t="shared" si="15"/>
        <v>21905.116666666665</v>
      </c>
      <c r="AB82">
        <f t="shared" si="16"/>
        <v>2735.6360884996661</v>
      </c>
      <c r="AC82">
        <f t="shared" si="17"/>
        <v>0.12488571186943384</v>
      </c>
    </row>
    <row r="83" spans="1:29" x14ac:dyDescent="0.35">
      <c r="A83" s="7" t="s">
        <v>101</v>
      </c>
      <c r="B83" t="s">
        <v>118</v>
      </c>
      <c r="D83">
        <v>4</v>
      </c>
      <c r="E83">
        <v>6</v>
      </c>
      <c r="F83">
        <v>4</v>
      </c>
      <c r="G83">
        <v>4</v>
      </c>
      <c r="H83">
        <v>5</v>
      </c>
      <c r="I83">
        <f t="shared" si="9"/>
        <v>4.5999999999999996</v>
      </c>
      <c r="J83">
        <f t="shared" si="10"/>
        <v>0.8944271909999163</v>
      </c>
      <c r="K83">
        <f t="shared" si="11"/>
        <v>0.19444069369563399</v>
      </c>
      <c r="M83" s="50">
        <v>154.75</v>
      </c>
      <c r="N83" s="50">
        <v>103.1666666666667</v>
      </c>
      <c r="O83" s="50">
        <v>154.75</v>
      </c>
      <c r="P83" s="50">
        <v>154.75</v>
      </c>
      <c r="Q83">
        <v>123.8</v>
      </c>
      <c r="R83" s="50">
        <f t="shared" si="12"/>
        <v>141.85416666666669</v>
      </c>
      <c r="S83" s="50">
        <f t="shared" si="13"/>
        <v>23.750750280546725</v>
      </c>
      <c r="T83">
        <f t="shared" si="14"/>
        <v>0.16743075539231056</v>
      </c>
      <c r="V83" s="50">
        <v>37364</v>
      </c>
      <c r="W83" s="50">
        <v>24383.666666666672</v>
      </c>
      <c r="X83" s="50">
        <v>37886</v>
      </c>
      <c r="Y83" s="50">
        <v>37408.5</v>
      </c>
      <c r="Z83">
        <v>29438.400000000001</v>
      </c>
      <c r="AA83" s="50">
        <f t="shared" si="15"/>
        <v>33296.113333333335</v>
      </c>
      <c r="AB83">
        <f t="shared" si="16"/>
        <v>6100.0029383235251</v>
      </c>
      <c r="AC83">
        <f t="shared" si="17"/>
        <v>0.18320465446688347</v>
      </c>
    </row>
    <row r="84" spans="1:29" x14ac:dyDescent="0.35">
      <c r="A84" s="7" t="s">
        <v>102</v>
      </c>
      <c r="B84" t="s">
        <v>118</v>
      </c>
      <c r="D84">
        <v>4</v>
      </c>
      <c r="E84">
        <v>6</v>
      </c>
      <c r="F84">
        <v>4</v>
      </c>
      <c r="G84">
        <v>7</v>
      </c>
      <c r="H84">
        <v>4</v>
      </c>
      <c r="I84">
        <f t="shared" si="9"/>
        <v>5</v>
      </c>
      <c r="J84">
        <f t="shared" si="10"/>
        <v>1.4142135623730951</v>
      </c>
      <c r="K84">
        <f t="shared" si="11"/>
        <v>0.28284271247461901</v>
      </c>
      <c r="M84" s="50">
        <v>156.25</v>
      </c>
      <c r="N84" s="50">
        <v>104.1666666666667</v>
      </c>
      <c r="O84" s="50">
        <v>156.25</v>
      </c>
      <c r="P84" s="50">
        <v>89.285714285714292</v>
      </c>
      <c r="Q84">
        <v>156.25</v>
      </c>
      <c r="R84" s="50">
        <f t="shared" si="12"/>
        <v>126.48809523809524</v>
      </c>
      <c r="S84" s="50">
        <f t="shared" si="13"/>
        <v>33.024316995791906</v>
      </c>
      <c r="T84">
        <f t="shared" si="14"/>
        <v>0.26108636495496662</v>
      </c>
      <c r="V84" s="50">
        <v>38185.25</v>
      </c>
      <c r="W84" s="50">
        <v>25272.5</v>
      </c>
      <c r="X84" s="50">
        <v>38620.5</v>
      </c>
      <c r="Y84" s="50">
        <v>21579.571428571431</v>
      </c>
      <c r="Z84">
        <v>38676.75</v>
      </c>
      <c r="AA84" s="50">
        <f t="shared" si="15"/>
        <v>32466.914285714283</v>
      </c>
      <c r="AB84">
        <f t="shared" si="16"/>
        <v>8357.9583554571673</v>
      </c>
      <c r="AC84">
        <f t="shared" si="17"/>
        <v>0.25743001881563904</v>
      </c>
    </row>
    <row r="85" spans="1:29" x14ac:dyDescent="0.35">
      <c r="A85" s="7" t="s">
        <v>103</v>
      </c>
      <c r="B85" t="s">
        <v>118</v>
      </c>
      <c r="D85">
        <v>6</v>
      </c>
      <c r="E85">
        <v>4</v>
      </c>
      <c r="F85">
        <v>5</v>
      </c>
      <c r="G85">
        <v>4</v>
      </c>
      <c r="H85">
        <v>6</v>
      </c>
      <c r="I85">
        <f t="shared" si="9"/>
        <v>5</v>
      </c>
      <c r="J85">
        <f t="shared" si="10"/>
        <v>1</v>
      </c>
      <c r="K85">
        <f t="shared" si="11"/>
        <v>0.2</v>
      </c>
      <c r="M85" s="50">
        <v>100</v>
      </c>
      <c r="N85" s="50">
        <v>150</v>
      </c>
      <c r="O85" s="50">
        <v>120</v>
      </c>
      <c r="P85" s="50">
        <v>150</v>
      </c>
      <c r="Q85">
        <v>100</v>
      </c>
      <c r="R85" s="50">
        <f t="shared" si="12"/>
        <v>130</v>
      </c>
      <c r="S85" s="50">
        <f t="shared" si="13"/>
        <v>25.099800796022265</v>
      </c>
      <c r="T85">
        <f t="shared" si="14"/>
        <v>0.19307539073863281</v>
      </c>
      <c r="V85" s="50">
        <v>25693.666666666672</v>
      </c>
      <c r="W85" s="50">
        <v>38820.75</v>
      </c>
      <c r="X85" s="50">
        <v>30762.400000000001</v>
      </c>
      <c r="Y85" s="50">
        <v>38760.5</v>
      </c>
      <c r="Z85">
        <v>25647.5</v>
      </c>
      <c r="AA85" s="50">
        <f t="shared" si="15"/>
        <v>31936.963333333337</v>
      </c>
      <c r="AB85">
        <f t="shared" si="16"/>
        <v>6592.8535708539939</v>
      </c>
      <c r="AC85">
        <f t="shared" si="17"/>
        <v>0.20643332623840546</v>
      </c>
    </row>
    <row r="86" spans="1:29" x14ac:dyDescent="0.35">
      <c r="A86" s="7" t="s">
        <v>104</v>
      </c>
      <c r="B86" t="s">
        <v>118</v>
      </c>
      <c r="D86">
        <v>3</v>
      </c>
      <c r="E86">
        <v>4</v>
      </c>
      <c r="F86">
        <v>3</v>
      </c>
      <c r="G86">
        <v>4</v>
      </c>
      <c r="H86">
        <v>3</v>
      </c>
      <c r="I86">
        <f t="shared" si="9"/>
        <v>3.4</v>
      </c>
      <c r="J86">
        <f t="shared" si="10"/>
        <v>0.54772255750516674</v>
      </c>
      <c r="K86">
        <f t="shared" si="11"/>
        <v>0.16109486985446081</v>
      </c>
      <c r="M86" s="50">
        <v>180.33333333333329</v>
      </c>
      <c r="N86" s="50">
        <v>135.25</v>
      </c>
      <c r="O86" s="50">
        <v>180.33333333333329</v>
      </c>
      <c r="P86" s="50">
        <v>135.25</v>
      </c>
      <c r="Q86">
        <v>180.33333333333329</v>
      </c>
      <c r="R86" s="50">
        <f t="shared" si="12"/>
        <v>157.79166666666663</v>
      </c>
      <c r="S86" s="50">
        <f t="shared" si="13"/>
        <v>24.693158634191377</v>
      </c>
      <c r="T86">
        <f t="shared" si="14"/>
        <v>0.15649215928719123</v>
      </c>
      <c r="V86" s="50">
        <v>42352</v>
      </c>
      <c r="W86" s="50">
        <v>31366.25</v>
      </c>
      <c r="X86" s="50">
        <v>42476.333333333343</v>
      </c>
      <c r="Y86" s="50">
        <v>31504.25</v>
      </c>
      <c r="Z86">
        <v>42759.666666666657</v>
      </c>
      <c r="AA86" s="50">
        <f t="shared" si="15"/>
        <v>38091.699999999997</v>
      </c>
      <c r="AB86">
        <f t="shared" si="16"/>
        <v>6078.471303787851</v>
      </c>
      <c r="AC86">
        <f t="shared" si="17"/>
        <v>0.15957469222397141</v>
      </c>
    </row>
    <row r="87" spans="1:29" x14ac:dyDescent="0.35">
      <c r="A87" s="7" t="s">
        <v>105</v>
      </c>
      <c r="B87" t="s">
        <v>118</v>
      </c>
      <c r="D87">
        <v>5</v>
      </c>
      <c r="E87">
        <v>4</v>
      </c>
      <c r="F87">
        <v>6</v>
      </c>
      <c r="G87">
        <v>8</v>
      </c>
      <c r="H87">
        <v>5</v>
      </c>
      <c r="I87">
        <f t="shared" si="9"/>
        <v>5.6</v>
      </c>
      <c r="J87">
        <f t="shared" si="10"/>
        <v>1.5165750888103091</v>
      </c>
      <c r="K87">
        <f t="shared" si="11"/>
        <v>0.27081698014469807</v>
      </c>
      <c r="M87" s="50">
        <v>122.6</v>
      </c>
      <c r="N87" s="50">
        <v>153.25</v>
      </c>
      <c r="O87" s="50">
        <v>102.1666666666667</v>
      </c>
      <c r="P87" s="50">
        <v>76.625</v>
      </c>
      <c r="Q87">
        <v>122.6</v>
      </c>
      <c r="R87" s="50">
        <f t="shared" si="12"/>
        <v>113.66041666666668</v>
      </c>
      <c r="S87" s="50">
        <f t="shared" si="13"/>
        <v>28.350099451128699</v>
      </c>
      <c r="T87">
        <f t="shared" si="14"/>
        <v>0.24942807955975904</v>
      </c>
      <c r="V87" s="50">
        <v>29765.8</v>
      </c>
      <c r="W87" s="50">
        <v>37702</v>
      </c>
      <c r="X87" s="50">
        <v>25012.166666666672</v>
      </c>
      <c r="Y87" s="50">
        <v>18541.625</v>
      </c>
      <c r="Z87">
        <v>29932</v>
      </c>
      <c r="AA87" s="50">
        <f t="shared" si="15"/>
        <v>28190.718333333334</v>
      </c>
      <c r="AB87">
        <f t="shared" si="16"/>
        <v>7056.6567136118865</v>
      </c>
      <c r="AC87">
        <f t="shared" si="17"/>
        <v>0.25031844276447324</v>
      </c>
    </row>
    <row r="88" spans="1:29" x14ac:dyDescent="0.35">
      <c r="A88" s="7" t="s">
        <v>106</v>
      </c>
      <c r="B88" t="s">
        <v>118</v>
      </c>
      <c r="D88">
        <v>5</v>
      </c>
      <c r="E88">
        <v>4</v>
      </c>
      <c r="F88">
        <v>4</v>
      </c>
      <c r="G88">
        <v>4</v>
      </c>
      <c r="H88">
        <v>5</v>
      </c>
      <c r="I88">
        <f t="shared" si="9"/>
        <v>4.4000000000000004</v>
      </c>
      <c r="J88">
        <f t="shared" si="10"/>
        <v>0.54772255750516674</v>
      </c>
      <c r="K88">
        <f t="shared" si="11"/>
        <v>0.12448239943299243</v>
      </c>
      <c r="M88" s="50">
        <v>109.2</v>
      </c>
      <c r="N88" s="50">
        <v>136.5</v>
      </c>
      <c r="O88" s="50">
        <v>136.5</v>
      </c>
      <c r="P88" s="50">
        <v>136.5</v>
      </c>
      <c r="Q88">
        <v>109.2</v>
      </c>
      <c r="R88" s="50">
        <f t="shared" si="12"/>
        <v>129.67500000000001</v>
      </c>
      <c r="S88" s="50">
        <f t="shared" si="13"/>
        <v>14.952825819890897</v>
      </c>
      <c r="T88">
        <f t="shared" si="14"/>
        <v>0.11531001210634968</v>
      </c>
      <c r="V88" s="50">
        <v>24752.6</v>
      </c>
      <c r="W88" s="50">
        <v>31031.75</v>
      </c>
      <c r="X88" s="50">
        <v>30945.25</v>
      </c>
      <c r="Y88" s="50">
        <v>31131</v>
      </c>
      <c r="Z88">
        <v>24780.400000000001</v>
      </c>
      <c r="AA88" s="50">
        <f t="shared" si="15"/>
        <v>28528.2</v>
      </c>
      <c r="AB88">
        <f t="shared" si="16"/>
        <v>3434.5895440721979</v>
      </c>
      <c r="AC88">
        <f t="shared" si="17"/>
        <v>0.12039278833127214</v>
      </c>
    </row>
    <row r="89" spans="1:29" x14ac:dyDescent="0.35">
      <c r="A89" s="7" t="s">
        <v>107</v>
      </c>
      <c r="B89" t="s">
        <v>118</v>
      </c>
      <c r="D89">
        <v>4</v>
      </c>
      <c r="E89">
        <v>3</v>
      </c>
      <c r="F89">
        <v>3</v>
      </c>
      <c r="G89">
        <v>4</v>
      </c>
      <c r="H89">
        <v>4</v>
      </c>
      <c r="I89">
        <f t="shared" si="9"/>
        <v>3.6</v>
      </c>
      <c r="J89">
        <f t="shared" si="10"/>
        <v>0.54772255750516674</v>
      </c>
      <c r="K89">
        <f t="shared" si="11"/>
        <v>0.15214515486254632</v>
      </c>
      <c r="M89" s="50">
        <v>135.5</v>
      </c>
      <c r="N89" s="50">
        <v>180.66666666666671</v>
      </c>
      <c r="O89" s="50">
        <v>180.66666666666671</v>
      </c>
      <c r="P89" s="50">
        <v>135.5</v>
      </c>
      <c r="Q89">
        <v>135.5</v>
      </c>
      <c r="R89" s="50">
        <f t="shared" si="12"/>
        <v>158.08333333333337</v>
      </c>
      <c r="S89" s="50">
        <f t="shared" si="13"/>
        <v>24.738802180649962</v>
      </c>
      <c r="T89">
        <f t="shared" si="14"/>
        <v>0.15649215928719001</v>
      </c>
      <c r="V89" s="50">
        <v>34591</v>
      </c>
      <c r="W89" s="50">
        <v>46089</v>
      </c>
      <c r="X89" s="50">
        <v>46088.666666666657</v>
      </c>
      <c r="Y89" s="50">
        <v>34286.5</v>
      </c>
      <c r="Z89">
        <v>34118.75</v>
      </c>
      <c r="AA89" s="50">
        <f t="shared" si="15"/>
        <v>39034.783333333333</v>
      </c>
      <c r="AB89">
        <f t="shared" si="16"/>
        <v>6441.6618880965516</v>
      </c>
      <c r="AC89">
        <f t="shared" si="17"/>
        <v>0.1650236363063341</v>
      </c>
    </row>
    <row r="90" spans="1:29" x14ac:dyDescent="0.35">
      <c r="A90" s="7" t="s">
        <v>108</v>
      </c>
      <c r="B90" t="s">
        <v>118</v>
      </c>
      <c r="D90">
        <v>3</v>
      </c>
      <c r="E90">
        <v>3</v>
      </c>
      <c r="F90">
        <v>4</v>
      </c>
      <c r="G90">
        <v>4</v>
      </c>
      <c r="H90">
        <v>4</v>
      </c>
      <c r="I90">
        <f t="shared" si="9"/>
        <v>3.6</v>
      </c>
      <c r="J90">
        <f t="shared" si="10"/>
        <v>0.54772255750516674</v>
      </c>
      <c r="K90">
        <f t="shared" si="11"/>
        <v>0.15214515486254632</v>
      </c>
      <c r="M90" s="50">
        <v>180.66666666666671</v>
      </c>
      <c r="N90" s="50">
        <v>180.66666666666671</v>
      </c>
      <c r="O90" s="50">
        <v>135.5</v>
      </c>
      <c r="P90" s="50">
        <v>135.5</v>
      </c>
      <c r="Q90">
        <v>135.5</v>
      </c>
      <c r="R90" s="50">
        <f t="shared" si="12"/>
        <v>158.08333333333337</v>
      </c>
      <c r="S90" s="50">
        <f t="shared" si="13"/>
        <v>24.738802180649962</v>
      </c>
      <c r="T90">
        <f t="shared" si="14"/>
        <v>0.15649215928719001</v>
      </c>
      <c r="V90" s="50">
        <v>46723.666666666657</v>
      </c>
      <c r="W90" s="50">
        <v>46789</v>
      </c>
      <c r="X90" s="50">
        <v>34861.5</v>
      </c>
      <c r="Y90" s="50">
        <v>34744.25</v>
      </c>
      <c r="Z90">
        <v>34748.25</v>
      </c>
      <c r="AA90" s="50">
        <f t="shared" si="15"/>
        <v>39573.333333333328</v>
      </c>
      <c r="AB90">
        <f t="shared" si="16"/>
        <v>6557.3615234563349</v>
      </c>
      <c r="AC90">
        <f t="shared" si="17"/>
        <v>0.16570152097682789</v>
      </c>
    </row>
    <row r="91" spans="1:29" x14ac:dyDescent="0.35">
      <c r="A91" s="7" t="s">
        <v>109</v>
      </c>
      <c r="B91" t="s">
        <v>118</v>
      </c>
      <c r="D91">
        <v>4</v>
      </c>
      <c r="E91">
        <v>5</v>
      </c>
      <c r="F91">
        <v>7</v>
      </c>
      <c r="G91">
        <v>5</v>
      </c>
      <c r="H91">
        <v>5</v>
      </c>
      <c r="I91">
        <f t="shared" si="9"/>
        <v>5.2</v>
      </c>
      <c r="J91">
        <f t="shared" si="10"/>
        <v>1.0954451150103335</v>
      </c>
      <c r="K91">
        <f t="shared" si="11"/>
        <v>0.21066252211737183</v>
      </c>
      <c r="M91" s="50">
        <v>156.75</v>
      </c>
      <c r="N91" s="50">
        <v>125.4</v>
      </c>
      <c r="O91" s="50">
        <v>89.571428571428569</v>
      </c>
      <c r="P91" s="50">
        <v>125.4</v>
      </c>
      <c r="Q91">
        <v>125.4</v>
      </c>
      <c r="R91" s="50">
        <f t="shared" si="12"/>
        <v>124.28035714285713</v>
      </c>
      <c r="S91" s="50">
        <f t="shared" si="13"/>
        <v>23.782858901970272</v>
      </c>
      <c r="T91">
        <f t="shared" si="14"/>
        <v>0.19136458446633264</v>
      </c>
      <c r="V91" s="50">
        <v>36373.5</v>
      </c>
      <c r="W91" s="50">
        <v>29088</v>
      </c>
      <c r="X91" s="50">
        <v>20659.28571428571</v>
      </c>
      <c r="Y91" s="50">
        <v>29110</v>
      </c>
      <c r="Z91">
        <v>29195.4</v>
      </c>
      <c r="AA91" s="50">
        <f t="shared" si="15"/>
        <v>28885.237142857142</v>
      </c>
      <c r="AB91">
        <f t="shared" si="16"/>
        <v>5566.1519391546644</v>
      </c>
      <c r="AC91">
        <f t="shared" si="17"/>
        <v>0.19269884860651335</v>
      </c>
    </row>
    <row r="92" spans="1:29" x14ac:dyDescent="0.35">
      <c r="A92" s="7" t="s">
        <v>110</v>
      </c>
      <c r="B92" t="s">
        <v>118</v>
      </c>
      <c r="D92">
        <v>5</v>
      </c>
      <c r="E92">
        <v>6</v>
      </c>
      <c r="F92">
        <v>5</v>
      </c>
      <c r="G92">
        <v>6</v>
      </c>
      <c r="H92">
        <v>5</v>
      </c>
      <c r="I92">
        <f t="shared" si="9"/>
        <v>5.4</v>
      </c>
      <c r="J92">
        <f t="shared" si="10"/>
        <v>0.54772255750516619</v>
      </c>
      <c r="K92">
        <f t="shared" si="11"/>
        <v>0.10143010324169743</v>
      </c>
      <c r="M92" s="50">
        <v>125.4</v>
      </c>
      <c r="N92" s="50">
        <v>104.5</v>
      </c>
      <c r="O92" s="50">
        <v>125.4</v>
      </c>
      <c r="P92" s="50">
        <v>104.5</v>
      </c>
      <c r="Q92">
        <v>125.4</v>
      </c>
      <c r="R92" s="50">
        <f t="shared" si="12"/>
        <v>114.95</v>
      </c>
      <c r="S92" s="50">
        <f t="shared" si="13"/>
        <v>11.447401451857974</v>
      </c>
      <c r="T92">
        <f t="shared" si="14"/>
        <v>9.9585919546393856E-2</v>
      </c>
      <c r="V92" s="50">
        <v>29557</v>
      </c>
      <c r="W92" s="50">
        <v>24650</v>
      </c>
      <c r="X92" s="50">
        <v>29548.2</v>
      </c>
      <c r="Y92" s="50">
        <v>24542</v>
      </c>
      <c r="Z92">
        <v>29453.200000000001</v>
      </c>
      <c r="AA92" s="50">
        <f t="shared" si="15"/>
        <v>27550.079999999998</v>
      </c>
      <c r="AB92">
        <f t="shared" si="16"/>
        <v>2697.2711417282471</v>
      </c>
      <c r="AC92">
        <f t="shared" si="17"/>
        <v>9.7904294351531737E-2</v>
      </c>
    </row>
    <row r="93" spans="1:29" x14ac:dyDescent="0.35">
      <c r="A93" s="7" t="s">
        <v>111</v>
      </c>
      <c r="B93" t="s">
        <v>118</v>
      </c>
      <c r="D93">
        <v>4</v>
      </c>
      <c r="E93">
        <v>3</v>
      </c>
      <c r="F93">
        <v>4</v>
      </c>
      <c r="G93">
        <v>6</v>
      </c>
      <c r="H93">
        <v>6</v>
      </c>
      <c r="I93">
        <f t="shared" si="9"/>
        <v>4.5999999999999996</v>
      </c>
      <c r="J93">
        <f t="shared" si="10"/>
        <v>1.3416407864998741</v>
      </c>
      <c r="K93">
        <f t="shared" si="11"/>
        <v>0.29166104054345088</v>
      </c>
      <c r="M93" s="50">
        <v>157.25</v>
      </c>
      <c r="N93" s="50">
        <v>209.66666666666671</v>
      </c>
      <c r="O93" s="50">
        <v>157.25</v>
      </c>
      <c r="P93" s="50">
        <v>104.8333333333333</v>
      </c>
      <c r="Q93">
        <v>104.8333333333333</v>
      </c>
      <c r="R93" s="50">
        <f t="shared" si="12"/>
        <v>157.25</v>
      </c>
      <c r="S93" s="50">
        <f t="shared" si="13"/>
        <v>43.854929724161138</v>
      </c>
      <c r="T93">
        <f t="shared" si="14"/>
        <v>0.27888667551135859</v>
      </c>
      <c r="V93" s="50">
        <v>37909.75</v>
      </c>
      <c r="W93" s="50">
        <v>50694</v>
      </c>
      <c r="X93" s="50">
        <v>37789</v>
      </c>
      <c r="Y93" s="50">
        <v>25101.5</v>
      </c>
      <c r="Z93">
        <v>25010</v>
      </c>
      <c r="AA93" s="50">
        <f t="shared" si="15"/>
        <v>35300.85</v>
      </c>
      <c r="AB93">
        <f t="shared" si="16"/>
        <v>10722.344084900464</v>
      </c>
      <c r="AC93">
        <f t="shared" si="17"/>
        <v>0.30374181032186093</v>
      </c>
    </row>
    <row r="94" spans="1:29" x14ac:dyDescent="0.35">
      <c r="A94" s="7" t="s">
        <v>112</v>
      </c>
      <c r="B94" t="s">
        <v>118</v>
      </c>
      <c r="D94">
        <v>7</v>
      </c>
      <c r="E94">
        <v>5</v>
      </c>
      <c r="F94">
        <v>3</v>
      </c>
      <c r="G94">
        <v>4</v>
      </c>
      <c r="H94">
        <v>8</v>
      </c>
      <c r="I94">
        <f t="shared" si="9"/>
        <v>5.4</v>
      </c>
      <c r="J94">
        <f t="shared" si="10"/>
        <v>2.0736441353327715</v>
      </c>
      <c r="K94">
        <f t="shared" si="11"/>
        <v>0.38400817320977249</v>
      </c>
      <c r="M94" s="50">
        <v>90.142857142857139</v>
      </c>
      <c r="N94" s="50">
        <v>126.2</v>
      </c>
      <c r="O94" s="50">
        <v>210.33333333333329</v>
      </c>
      <c r="P94" s="50">
        <v>157.75</v>
      </c>
      <c r="Q94">
        <v>78.875</v>
      </c>
      <c r="R94" s="50">
        <f t="shared" si="12"/>
        <v>146.1065476190476</v>
      </c>
      <c r="S94" s="50">
        <f t="shared" si="13"/>
        <v>53.396910192824713</v>
      </c>
      <c r="T94">
        <f t="shared" si="14"/>
        <v>0.36546555279678289</v>
      </c>
      <c r="V94" s="50">
        <v>21384.142857142859</v>
      </c>
      <c r="W94" s="50">
        <v>30081.8</v>
      </c>
      <c r="X94" s="50">
        <v>50783.666666666657</v>
      </c>
      <c r="Y94" s="50">
        <v>37752.75</v>
      </c>
      <c r="Z94">
        <v>18694</v>
      </c>
      <c r="AA94" s="50">
        <f t="shared" si="15"/>
        <v>31739.271904761903</v>
      </c>
      <c r="AB94">
        <f t="shared" si="16"/>
        <v>13028.87102194836</v>
      </c>
      <c r="AC94">
        <f t="shared" si="17"/>
        <v>0.41049684633734823</v>
      </c>
    </row>
    <row r="95" spans="1:29" x14ac:dyDescent="0.35">
      <c r="A95" s="7" t="s">
        <v>13</v>
      </c>
      <c r="B95" t="s">
        <v>114</v>
      </c>
      <c r="D95">
        <v>4</v>
      </c>
      <c r="E95">
        <v>3</v>
      </c>
      <c r="F95">
        <v>4</v>
      </c>
      <c r="G95">
        <v>3</v>
      </c>
      <c r="H95">
        <v>4</v>
      </c>
      <c r="I95">
        <f t="shared" si="9"/>
        <v>3.6</v>
      </c>
      <c r="J95">
        <f t="shared" si="10"/>
        <v>0.54772255750516674</v>
      </c>
      <c r="K95">
        <f t="shared" si="11"/>
        <v>0.15214515486254632</v>
      </c>
      <c r="M95" s="50">
        <v>193.25</v>
      </c>
      <c r="N95" s="50">
        <v>257.66666666666669</v>
      </c>
      <c r="O95" s="50">
        <v>193.25</v>
      </c>
      <c r="P95" s="50">
        <v>257.66666666666669</v>
      </c>
      <c r="Q95">
        <v>193.25</v>
      </c>
      <c r="R95" s="50">
        <f t="shared" si="12"/>
        <v>225.45833333333337</v>
      </c>
      <c r="S95" s="50">
        <f t="shared" si="13"/>
        <v>35.282461412624322</v>
      </c>
      <c r="T95">
        <f t="shared" si="14"/>
        <v>0.15649215928718971</v>
      </c>
      <c r="V95" s="50">
        <v>70305.25</v>
      </c>
      <c r="W95" s="50">
        <v>93952.666666666672</v>
      </c>
      <c r="X95" s="50">
        <v>70501</v>
      </c>
      <c r="Y95" s="50">
        <v>94264</v>
      </c>
      <c r="Z95">
        <v>70370.25</v>
      </c>
      <c r="AA95" s="50">
        <f t="shared" si="15"/>
        <v>79878.633333333331</v>
      </c>
      <c r="AB95">
        <f t="shared" si="16"/>
        <v>12990.537107806751</v>
      </c>
      <c r="AC95">
        <f t="shared" si="17"/>
        <v>0.16262843473544764</v>
      </c>
    </row>
    <row r="96" spans="1:29" x14ac:dyDescent="0.35">
      <c r="A96" s="7" t="s">
        <v>14</v>
      </c>
      <c r="B96" t="s">
        <v>114</v>
      </c>
      <c r="D96">
        <v>7</v>
      </c>
      <c r="E96">
        <v>4</v>
      </c>
      <c r="F96">
        <v>4</v>
      </c>
      <c r="G96">
        <v>4</v>
      </c>
      <c r="H96">
        <v>4</v>
      </c>
      <c r="I96">
        <f t="shared" si="9"/>
        <v>4.5999999999999996</v>
      </c>
      <c r="J96">
        <f t="shared" si="10"/>
        <v>1.3416407864998741</v>
      </c>
      <c r="K96">
        <f t="shared" si="11"/>
        <v>0.29166104054345088</v>
      </c>
      <c r="M96" s="50">
        <v>129</v>
      </c>
      <c r="N96" s="50">
        <v>225.75</v>
      </c>
      <c r="O96" s="50">
        <v>225.75</v>
      </c>
      <c r="P96" s="50">
        <v>225.75</v>
      </c>
      <c r="Q96">
        <v>225.75</v>
      </c>
      <c r="R96" s="50">
        <f t="shared" si="12"/>
        <v>201.5625</v>
      </c>
      <c r="S96" s="50">
        <f t="shared" si="13"/>
        <v>43.267915364620961</v>
      </c>
      <c r="T96">
        <f t="shared" si="14"/>
        <v>0.21466252583997997</v>
      </c>
      <c r="V96" s="50">
        <v>43178.857142857138</v>
      </c>
      <c r="W96" s="50">
        <v>75942.5</v>
      </c>
      <c r="X96" s="50">
        <v>76281.5</v>
      </c>
      <c r="Y96" s="50">
        <v>76003.5</v>
      </c>
      <c r="Z96">
        <v>76704.5</v>
      </c>
      <c r="AA96" s="50">
        <f t="shared" si="15"/>
        <v>69622.171428571426</v>
      </c>
      <c r="AB96">
        <f t="shared" si="16"/>
        <v>14785.320532679729</v>
      </c>
      <c r="AC96">
        <f t="shared" si="17"/>
        <v>0.21236511630276667</v>
      </c>
    </row>
    <row r="97" spans="1:29" x14ac:dyDescent="0.35">
      <c r="A97" s="7" t="s">
        <v>15</v>
      </c>
      <c r="B97" t="s">
        <v>114</v>
      </c>
      <c r="D97">
        <v>5</v>
      </c>
      <c r="E97">
        <v>6</v>
      </c>
      <c r="F97">
        <v>7</v>
      </c>
      <c r="G97">
        <v>4</v>
      </c>
      <c r="H97">
        <v>5</v>
      </c>
      <c r="I97">
        <f t="shared" si="9"/>
        <v>5.4</v>
      </c>
      <c r="J97">
        <f t="shared" si="10"/>
        <v>1.1401754250991367</v>
      </c>
      <c r="K97">
        <f t="shared" si="11"/>
        <v>0.21114359724058085</v>
      </c>
      <c r="M97" s="50">
        <v>184.2</v>
      </c>
      <c r="N97" s="50">
        <v>153.5</v>
      </c>
      <c r="O97" s="50">
        <v>131.57142857142861</v>
      </c>
      <c r="P97" s="50">
        <v>230.25</v>
      </c>
      <c r="Q97">
        <v>184.2</v>
      </c>
      <c r="R97" s="50">
        <f t="shared" si="12"/>
        <v>174.88035714285715</v>
      </c>
      <c r="S97" s="50">
        <f t="shared" si="13"/>
        <v>37.265670036446558</v>
      </c>
      <c r="T97">
        <f t="shared" si="14"/>
        <v>0.21309237152349128</v>
      </c>
      <c r="V97" s="50">
        <v>64112.800000000003</v>
      </c>
      <c r="W97" s="50">
        <v>52480.333333333343</v>
      </c>
      <c r="X97" s="50">
        <v>44980.428571428572</v>
      </c>
      <c r="Y97" s="50">
        <v>79042</v>
      </c>
      <c r="Z97">
        <v>63193.2</v>
      </c>
      <c r="AA97" s="50">
        <f t="shared" si="15"/>
        <v>60761.752380952377</v>
      </c>
      <c r="AB97">
        <f t="shared" si="16"/>
        <v>12931.946811156287</v>
      </c>
      <c r="AC97">
        <f t="shared" si="17"/>
        <v>0.21283037938205021</v>
      </c>
    </row>
    <row r="98" spans="1:29" x14ac:dyDescent="0.35">
      <c r="A98" s="7" t="s">
        <v>16</v>
      </c>
      <c r="B98" t="s">
        <v>114</v>
      </c>
      <c r="D98">
        <v>5</v>
      </c>
      <c r="E98">
        <v>5</v>
      </c>
      <c r="F98">
        <v>5</v>
      </c>
      <c r="G98">
        <v>4</v>
      </c>
      <c r="H98">
        <v>5</v>
      </c>
      <c r="I98">
        <f t="shared" si="9"/>
        <v>4.8</v>
      </c>
      <c r="J98">
        <f t="shared" si="10"/>
        <v>0.44721359549995793</v>
      </c>
      <c r="K98">
        <f t="shared" si="11"/>
        <v>9.3169499062491237E-2</v>
      </c>
      <c r="M98" s="50">
        <v>184.6</v>
      </c>
      <c r="N98" s="50">
        <v>184.6</v>
      </c>
      <c r="O98" s="50">
        <v>184.6</v>
      </c>
      <c r="P98" s="50">
        <v>230.75</v>
      </c>
      <c r="Q98">
        <v>184.6</v>
      </c>
      <c r="R98" s="50">
        <f t="shared" si="12"/>
        <v>196.13749999999999</v>
      </c>
      <c r="S98" s="50">
        <f t="shared" si="13"/>
        <v>20.638907432323062</v>
      </c>
      <c r="T98">
        <f t="shared" si="14"/>
        <v>0.1052267283529313</v>
      </c>
      <c r="V98" s="50">
        <v>67568.399999999994</v>
      </c>
      <c r="W98" s="50">
        <v>67779.600000000006</v>
      </c>
      <c r="X98" s="50">
        <v>67915.600000000006</v>
      </c>
      <c r="Y98" s="50">
        <v>85208.25</v>
      </c>
      <c r="Z98">
        <v>67500.399999999994</v>
      </c>
      <c r="AA98" s="50">
        <f t="shared" si="15"/>
        <v>71194.45</v>
      </c>
      <c r="AB98">
        <f t="shared" si="16"/>
        <v>7835.7018238636419</v>
      </c>
      <c r="AC98">
        <f t="shared" si="17"/>
        <v>0.11006057106788018</v>
      </c>
    </row>
    <row r="99" spans="1:29" x14ac:dyDescent="0.35">
      <c r="A99" s="7" t="s">
        <v>17</v>
      </c>
      <c r="B99" t="s">
        <v>114</v>
      </c>
      <c r="D99">
        <v>5</v>
      </c>
      <c r="E99">
        <v>4</v>
      </c>
      <c r="F99">
        <v>3</v>
      </c>
      <c r="G99">
        <v>3</v>
      </c>
      <c r="H99">
        <v>5</v>
      </c>
      <c r="I99">
        <f t="shared" si="9"/>
        <v>4</v>
      </c>
      <c r="J99">
        <f t="shared" si="10"/>
        <v>1</v>
      </c>
      <c r="K99">
        <f t="shared" si="11"/>
        <v>0.25</v>
      </c>
      <c r="M99" s="50">
        <v>182.2</v>
      </c>
      <c r="N99" s="50">
        <v>227.75</v>
      </c>
      <c r="O99" s="50">
        <v>303.66666666666669</v>
      </c>
      <c r="P99" s="50">
        <v>303.66666666666669</v>
      </c>
      <c r="Q99">
        <v>182.2</v>
      </c>
      <c r="R99" s="50">
        <f t="shared" si="12"/>
        <v>254.32083333333333</v>
      </c>
      <c r="S99" s="50">
        <f t="shared" si="13"/>
        <v>61.111737825069326</v>
      </c>
      <c r="T99">
        <f t="shared" si="14"/>
        <v>0.24029387220893292</v>
      </c>
      <c r="V99" s="50">
        <v>66312</v>
      </c>
      <c r="W99" s="50">
        <v>84139.25</v>
      </c>
      <c r="X99" s="50">
        <v>112239.3333333333</v>
      </c>
      <c r="Y99" s="50">
        <v>112136.3333333333</v>
      </c>
      <c r="Z99">
        <v>66283.600000000006</v>
      </c>
      <c r="AA99" s="50">
        <f t="shared" si="15"/>
        <v>88222.103333333318</v>
      </c>
      <c r="AB99">
        <f t="shared" si="16"/>
        <v>23058.28474372784</v>
      </c>
      <c r="AC99">
        <f t="shared" si="17"/>
        <v>0.26136630019583351</v>
      </c>
    </row>
    <row r="100" spans="1:29" x14ac:dyDescent="0.35">
      <c r="A100" s="7" t="s">
        <v>18</v>
      </c>
      <c r="B100" t="s">
        <v>114</v>
      </c>
      <c r="D100">
        <v>5</v>
      </c>
      <c r="E100">
        <v>4</v>
      </c>
      <c r="F100">
        <v>4</v>
      </c>
      <c r="G100">
        <v>5</v>
      </c>
      <c r="H100">
        <v>3</v>
      </c>
      <c r="I100">
        <f t="shared" si="9"/>
        <v>4.2</v>
      </c>
      <c r="J100">
        <f t="shared" si="10"/>
        <v>0.83666002653407512</v>
      </c>
      <c r="K100">
        <f t="shared" si="11"/>
        <v>0.19920476822239883</v>
      </c>
      <c r="M100" s="50">
        <v>184.2</v>
      </c>
      <c r="N100" s="50">
        <v>230.25</v>
      </c>
      <c r="O100" s="50">
        <v>230.25</v>
      </c>
      <c r="P100" s="50">
        <v>184.2</v>
      </c>
      <c r="Q100">
        <v>307</v>
      </c>
      <c r="R100" s="50">
        <f t="shared" si="12"/>
        <v>207.22500000000002</v>
      </c>
      <c r="S100" s="50">
        <f t="shared" si="13"/>
        <v>50.211161607754065</v>
      </c>
      <c r="T100">
        <f t="shared" si="14"/>
        <v>0.2423026256858683</v>
      </c>
      <c r="V100" s="50">
        <v>67272.600000000006</v>
      </c>
      <c r="W100" s="50">
        <v>83869.5</v>
      </c>
      <c r="X100" s="50">
        <v>84261.25</v>
      </c>
      <c r="Y100" s="50">
        <v>67126.2</v>
      </c>
      <c r="Z100">
        <v>112568.3333333333</v>
      </c>
      <c r="AA100" s="50">
        <f t="shared" si="15"/>
        <v>83019.57666666666</v>
      </c>
      <c r="AB100">
        <f t="shared" si="16"/>
        <v>18546.966321303185</v>
      </c>
      <c r="AC100">
        <f t="shared" si="17"/>
        <v>0.22340473254605273</v>
      </c>
    </row>
    <row r="101" spans="1:29" x14ac:dyDescent="0.35">
      <c r="A101" s="7" t="s">
        <v>19</v>
      </c>
      <c r="B101" t="s">
        <v>114</v>
      </c>
      <c r="D101">
        <v>6</v>
      </c>
      <c r="E101">
        <v>4</v>
      </c>
      <c r="F101">
        <v>4</v>
      </c>
      <c r="G101">
        <v>6</v>
      </c>
      <c r="H101">
        <v>4</v>
      </c>
      <c r="I101">
        <f t="shared" si="9"/>
        <v>4.8</v>
      </c>
      <c r="J101">
        <f t="shared" si="10"/>
        <v>1.0954451150103319</v>
      </c>
      <c r="K101">
        <f t="shared" si="11"/>
        <v>0.22821773229381917</v>
      </c>
      <c r="M101" s="50">
        <v>153.16666666666671</v>
      </c>
      <c r="N101" s="50">
        <v>229.75</v>
      </c>
      <c r="O101" s="50">
        <v>229.75</v>
      </c>
      <c r="P101" s="50">
        <v>153.16666666666671</v>
      </c>
      <c r="Q101">
        <v>229.75</v>
      </c>
      <c r="R101" s="50">
        <f t="shared" si="12"/>
        <v>191.45833333333337</v>
      </c>
      <c r="S101" s="50">
        <f t="shared" si="13"/>
        <v>41.946419195603966</v>
      </c>
      <c r="T101">
        <f t="shared" si="14"/>
        <v>0.21908902300206637</v>
      </c>
      <c r="V101" s="50">
        <v>52964</v>
      </c>
      <c r="W101" s="50">
        <v>80718</v>
      </c>
      <c r="X101" s="50">
        <v>79946</v>
      </c>
      <c r="Y101" s="50">
        <v>52747.5</v>
      </c>
      <c r="Z101">
        <v>79955</v>
      </c>
      <c r="AA101" s="50">
        <f t="shared" si="15"/>
        <v>69266.100000000006</v>
      </c>
      <c r="AB101">
        <f t="shared" si="16"/>
        <v>14984.003730645565</v>
      </c>
      <c r="AC101">
        <f t="shared" si="17"/>
        <v>0.21632521147640135</v>
      </c>
    </row>
    <row r="102" spans="1:29" x14ac:dyDescent="0.35">
      <c r="A102" s="7" t="s">
        <v>20</v>
      </c>
      <c r="B102" t="s">
        <v>114</v>
      </c>
      <c r="D102">
        <v>5</v>
      </c>
      <c r="E102">
        <v>7</v>
      </c>
      <c r="F102">
        <v>8</v>
      </c>
      <c r="G102">
        <v>7</v>
      </c>
      <c r="H102">
        <v>5</v>
      </c>
      <c r="I102">
        <f t="shared" si="9"/>
        <v>6.4</v>
      </c>
      <c r="J102">
        <f t="shared" si="10"/>
        <v>1.3416407864998727</v>
      </c>
      <c r="K102">
        <f t="shared" si="11"/>
        <v>0.2096313728906051</v>
      </c>
      <c r="M102" s="50">
        <v>179.4</v>
      </c>
      <c r="N102" s="50">
        <v>128.14285714285711</v>
      </c>
      <c r="O102" s="50">
        <v>112.125</v>
      </c>
      <c r="P102" s="50">
        <v>128.14285714285711</v>
      </c>
      <c r="Q102">
        <v>179.4</v>
      </c>
      <c r="R102" s="50">
        <f t="shared" si="12"/>
        <v>136.95267857142855</v>
      </c>
      <c r="S102" s="50">
        <f t="shared" si="13"/>
        <v>31.681361650352322</v>
      </c>
      <c r="T102">
        <f t="shared" si="14"/>
        <v>0.23133071934645444</v>
      </c>
      <c r="V102" s="50">
        <v>64347.8</v>
      </c>
      <c r="W102" s="50">
        <v>45811.714285714283</v>
      </c>
      <c r="X102" s="50">
        <v>39836.75</v>
      </c>
      <c r="Y102" s="50">
        <v>45681.142857142862</v>
      </c>
      <c r="Z102">
        <v>64377.2</v>
      </c>
      <c r="AA102" s="50">
        <f t="shared" si="15"/>
        <v>52010.921428571433</v>
      </c>
      <c r="AB102">
        <f t="shared" si="16"/>
        <v>11530.721297125736</v>
      </c>
      <c r="AC102">
        <f t="shared" si="17"/>
        <v>0.2216980776424296</v>
      </c>
    </row>
    <row r="103" spans="1:29" x14ac:dyDescent="0.35">
      <c r="A103" s="7" t="s">
        <v>21</v>
      </c>
      <c r="B103" t="s">
        <v>114</v>
      </c>
      <c r="D103">
        <v>7</v>
      </c>
      <c r="E103">
        <v>5</v>
      </c>
      <c r="F103">
        <v>3</v>
      </c>
      <c r="G103">
        <v>6</v>
      </c>
      <c r="H103">
        <v>4</v>
      </c>
      <c r="I103">
        <f t="shared" si="9"/>
        <v>5</v>
      </c>
      <c r="J103">
        <f t="shared" si="10"/>
        <v>1.5811388300841898</v>
      </c>
      <c r="K103">
        <f t="shared" si="11"/>
        <v>0.31622776601683794</v>
      </c>
      <c r="M103" s="50">
        <v>128.14285714285711</v>
      </c>
      <c r="N103" s="50">
        <v>179.4</v>
      </c>
      <c r="O103" s="50">
        <v>299</v>
      </c>
      <c r="P103" s="50">
        <v>149.5</v>
      </c>
      <c r="Q103">
        <v>224.25</v>
      </c>
      <c r="R103" s="50">
        <f t="shared" si="12"/>
        <v>189.01071428571427</v>
      </c>
      <c r="S103" s="50">
        <f t="shared" si="13"/>
        <v>67.914371055899267</v>
      </c>
      <c r="T103">
        <f t="shared" si="14"/>
        <v>0.35931492726511716</v>
      </c>
      <c r="V103" s="50">
        <v>45973.714285714283</v>
      </c>
      <c r="W103" s="50">
        <v>64477.8</v>
      </c>
      <c r="X103" s="50">
        <v>110341</v>
      </c>
      <c r="Y103" s="50">
        <v>54115.333333333343</v>
      </c>
      <c r="Z103">
        <v>80937.5</v>
      </c>
      <c r="AA103" s="50">
        <f t="shared" si="15"/>
        <v>71169.069523809521</v>
      </c>
      <c r="AB103">
        <f t="shared" si="16"/>
        <v>25496.427704033864</v>
      </c>
      <c r="AC103">
        <f t="shared" si="17"/>
        <v>0.35825152520090298</v>
      </c>
    </row>
    <row r="104" spans="1:29" x14ac:dyDescent="0.35">
      <c r="A104" s="7" t="s">
        <v>22</v>
      </c>
      <c r="B104" t="s">
        <v>114</v>
      </c>
      <c r="D104">
        <v>5</v>
      </c>
      <c r="E104">
        <v>5</v>
      </c>
      <c r="F104">
        <v>5</v>
      </c>
      <c r="G104">
        <v>3</v>
      </c>
      <c r="H104">
        <v>4</v>
      </c>
      <c r="I104">
        <f t="shared" si="9"/>
        <v>4.4000000000000004</v>
      </c>
      <c r="J104">
        <f t="shared" si="10"/>
        <v>0.8944271909999163</v>
      </c>
      <c r="K104">
        <f t="shared" si="11"/>
        <v>0.2032789070454355</v>
      </c>
      <c r="M104" s="50">
        <v>182.4</v>
      </c>
      <c r="N104" s="50">
        <v>182.4</v>
      </c>
      <c r="O104" s="50">
        <v>182.4</v>
      </c>
      <c r="P104" s="50">
        <v>304</v>
      </c>
      <c r="Q104">
        <v>228</v>
      </c>
      <c r="R104" s="50">
        <f t="shared" si="12"/>
        <v>212.8</v>
      </c>
      <c r="S104" s="50">
        <f t="shared" si="13"/>
        <v>53.09131755758181</v>
      </c>
      <c r="T104">
        <f t="shared" si="14"/>
        <v>0.24948927423675663</v>
      </c>
      <c r="V104" s="50">
        <v>66300.800000000003</v>
      </c>
      <c r="W104" s="50">
        <v>66276.2</v>
      </c>
      <c r="X104" s="50">
        <v>65848.2</v>
      </c>
      <c r="Y104" s="50">
        <v>112227</v>
      </c>
      <c r="Z104">
        <v>83198.75</v>
      </c>
      <c r="AA104" s="50">
        <f t="shared" si="15"/>
        <v>78770.19</v>
      </c>
      <c r="AB104">
        <f t="shared" si="16"/>
        <v>20109.286273398662</v>
      </c>
      <c r="AC104">
        <f t="shared" si="17"/>
        <v>0.25529056453207311</v>
      </c>
    </row>
    <row r="105" spans="1:29" x14ac:dyDescent="0.35">
      <c r="A105" s="7" t="s">
        <v>23</v>
      </c>
      <c r="B105" t="s">
        <v>114</v>
      </c>
      <c r="D105">
        <v>4</v>
      </c>
      <c r="E105">
        <v>6</v>
      </c>
      <c r="F105">
        <v>6</v>
      </c>
      <c r="G105">
        <v>6</v>
      </c>
      <c r="H105">
        <v>5</v>
      </c>
      <c r="I105">
        <f t="shared" si="9"/>
        <v>5.4</v>
      </c>
      <c r="J105">
        <f t="shared" si="10"/>
        <v>0.8944271909999143</v>
      </c>
      <c r="K105">
        <f t="shared" si="11"/>
        <v>0.16563466499998411</v>
      </c>
      <c r="M105" s="50">
        <v>229.25</v>
      </c>
      <c r="N105" s="50">
        <v>152.83333333333329</v>
      </c>
      <c r="O105" s="50">
        <v>152.83333333333329</v>
      </c>
      <c r="P105" s="50">
        <v>152.83333333333329</v>
      </c>
      <c r="Q105">
        <v>183.4</v>
      </c>
      <c r="R105" s="50">
        <f t="shared" si="12"/>
        <v>171.93749999999994</v>
      </c>
      <c r="S105" s="50">
        <f t="shared" si="13"/>
        <v>33.484105682149391</v>
      </c>
      <c r="T105">
        <f t="shared" si="14"/>
        <v>0.19474579822406049</v>
      </c>
      <c r="V105" s="50">
        <v>80701</v>
      </c>
      <c r="W105" s="50">
        <v>52778.666666666657</v>
      </c>
      <c r="X105" s="50">
        <v>52681.333333333343</v>
      </c>
      <c r="Y105" s="50">
        <v>52731.5</v>
      </c>
      <c r="Z105">
        <v>63678.8</v>
      </c>
      <c r="AA105" s="50">
        <f t="shared" si="15"/>
        <v>60514.259999999995</v>
      </c>
      <c r="AB105">
        <f t="shared" si="16"/>
        <v>12240.141776557257</v>
      </c>
      <c r="AC105">
        <f t="shared" si="17"/>
        <v>0.20226871776267705</v>
      </c>
    </row>
    <row r="106" spans="1:29" x14ac:dyDescent="0.35">
      <c r="A106" s="7" t="s">
        <v>24</v>
      </c>
      <c r="B106" t="s">
        <v>114</v>
      </c>
      <c r="D106">
        <v>3</v>
      </c>
      <c r="E106">
        <v>4</v>
      </c>
      <c r="F106">
        <v>3</v>
      </c>
      <c r="G106">
        <v>3</v>
      </c>
      <c r="H106">
        <v>3</v>
      </c>
      <c r="I106">
        <f t="shared" si="9"/>
        <v>3.2</v>
      </c>
      <c r="J106">
        <f t="shared" si="10"/>
        <v>0.44721359549995715</v>
      </c>
      <c r="K106">
        <f t="shared" si="11"/>
        <v>0.13975424859373661</v>
      </c>
      <c r="M106" s="50">
        <v>258</v>
      </c>
      <c r="N106" s="50">
        <v>193.5</v>
      </c>
      <c r="O106" s="50">
        <v>258</v>
      </c>
      <c r="P106" s="50">
        <v>258</v>
      </c>
      <c r="Q106">
        <v>258</v>
      </c>
      <c r="R106" s="50">
        <f t="shared" si="12"/>
        <v>241.875</v>
      </c>
      <c r="S106" s="50">
        <f t="shared" si="13"/>
        <v>28.845276909747337</v>
      </c>
      <c r="T106">
        <f t="shared" si="14"/>
        <v>0.11925695879998899</v>
      </c>
      <c r="V106" s="50">
        <v>93535.666666666672</v>
      </c>
      <c r="W106" s="50">
        <v>69713.75</v>
      </c>
      <c r="X106" s="50">
        <v>93583.333333333328</v>
      </c>
      <c r="Y106" s="50">
        <v>93514.333333333328</v>
      </c>
      <c r="Z106">
        <v>93688.333333333328</v>
      </c>
      <c r="AA106" s="50">
        <f t="shared" si="15"/>
        <v>88807.083333333328</v>
      </c>
      <c r="AB106">
        <f t="shared" si="16"/>
        <v>10673.708895055703</v>
      </c>
      <c r="AC106">
        <f t="shared" si="17"/>
        <v>0.12018983727899749</v>
      </c>
    </row>
    <row r="107" spans="1:29" x14ac:dyDescent="0.35">
      <c r="A107" s="7" t="s">
        <v>25</v>
      </c>
      <c r="B107" t="s">
        <v>114</v>
      </c>
      <c r="D107">
        <v>5</v>
      </c>
      <c r="E107">
        <v>3</v>
      </c>
      <c r="F107">
        <v>3</v>
      </c>
      <c r="G107">
        <v>5</v>
      </c>
      <c r="H107">
        <v>4</v>
      </c>
      <c r="I107">
        <f t="shared" si="9"/>
        <v>4</v>
      </c>
      <c r="J107">
        <f t="shared" si="10"/>
        <v>1</v>
      </c>
      <c r="K107">
        <f t="shared" si="11"/>
        <v>0.25</v>
      </c>
      <c r="M107" s="50">
        <v>182</v>
      </c>
      <c r="N107" s="50">
        <v>303.33333333333331</v>
      </c>
      <c r="O107" s="50">
        <v>303.33333333333331</v>
      </c>
      <c r="P107" s="50">
        <v>182</v>
      </c>
      <c r="Q107">
        <v>227.5</v>
      </c>
      <c r="R107" s="50">
        <f t="shared" si="12"/>
        <v>242.66666666666666</v>
      </c>
      <c r="S107" s="50">
        <f t="shared" si="13"/>
        <v>61.044655785744354</v>
      </c>
      <c r="T107">
        <f t="shared" si="14"/>
        <v>0.25155764746872672</v>
      </c>
      <c r="V107" s="50">
        <v>62087.4</v>
      </c>
      <c r="W107" s="50">
        <v>105857</v>
      </c>
      <c r="X107" s="50">
        <v>105550</v>
      </c>
      <c r="Y107" s="50">
        <v>62088</v>
      </c>
      <c r="Z107">
        <v>78359</v>
      </c>
      <c r="AA107" s="50">
        <f t="shared" si="15"/>
        <v>82788.28</v>
      </c>
      <c r="AB107">
        <f t="shared" si="16"/>
        <v>21948.28174349873</v>
      </c>
      <c r="AC107">
        <f t="shared" si="17"/>
        <v>0.2651133921794091</v>
      </c>
    </row>
    <row r="108" spans="1:29" x14ac:dyDescent="0.35">
      <c r="A108" s="7" t="s">
        <v>26</v>
      </c>
      <c r="B108" t="s">
        <v>114</v>
      </c>
      <c r="D108">
        <v>3</v>
      </c>
      <c r="E108">
        <v>3</v>
      </c>
      <c r="F108">
        <v>4</v>
      </c>
      <c r="G108">
        <v>4</v>
      </c>
      <c r="H108">
        <v>4</v>
      </c>
      <c r="I108">
        <f t="shared" si="9"/>
        <v>3.6</v>
      </c>
      <c r="J108">
        <f t="shared" si="10"/>
        <v>0.54772255750516674</v>
      </c>
      <c r="K108">
        <f t="shared" si="11"/>
        <v>0.15214515486254632</v>
      </c>
      <c r="M108" s="50">
        <v>256</v>
      </c>
      <c r="N108" s="50">
        <v>256</v>
      </c>
      <c r="O108" s="50">
        <v>192</v>
      </c>
      <c r="P108" s="50">
        <v>192</v>
      </c>
      <c r="Q108">
        <v>192</v>
      </c>
      <c r="R108" s="50">
        <f t="shared" si="12"/>
        <v>224</v>
      </c>
      <c r="S108" s="50">
        <f t="shared" si="13"/>
        <v>35.054243680330671</v>
      </c>
      <c r="T108">
        <f t="shared" si="14"/>
        <v>0.15649215928719049</v>
      </c>
      <c r="V108" s="50">
        <v>92845.666666666672</v>
      </c>
      <c r="W108" s="50">
        <v>93212</v>
      </c>
      <c r="X108" s="50">
        <v>69275.25</v>
      </c>
      <c r="Y108" s="50">
        <v>69958.25</v>
      </c>
      <c r="Z108">
        <v>69413.75</v>
      </c>
      <c r="AA108" s="50">
        <f t="shared" si="15"/>
        <v>78940.983333333337</v>
      </c>
      <c r="AB108">
        <f t="shared" si="16"/>
        <v>12863.574632438083</v>
      </c>
      <c r="AC108">
        <f t="shared" si="17"/>
        <v>0.16295179118963871</v>
      </c>
    </row>
    <row r="109" spans="1:29" x14ac:dyDescent="0.35">
      <c r="A109" s="7" t="s">
        <v>27</v>
      </c>
      <c r="B109" t="s">
        <v>114</v>
      </c>
      <c r="D109">
        <v>3</v>
      </c>
      <c r="E109">
        <v>3</v>
      </c>
      <c r="F109">
        <v>3</v>
      </c>
      <c r="G109">
        <v>3</v>
      </c>
      <c r="H109">
        <v>3</v>
      </c>
      <c r="I109">
        <f t="shared" si="9"/>
        <v>3</v>
      </c>
      <c r="J109">
        <f t="shared" si="10"/>
        <v>0</v>
      </c>
      <c r="K109">
        <f t="shared" si="11"/>
        <v>0</v>
      </c>
      <c r="M109" s="50">
        <v>257</v>
      </c>
      <c r="N109" s="50">
        <v>257</v>
      </c>
      <c r="O109" s="50">
        <v>257</v>
      </c>
      <c r="P109" s="50">
        <v>257</v>
      </c>
      <c r="Q109">
        <v>257</v>
      </c>
      <c r="R109" s="50">
        <f t="shared" si="12"/>
        <v>257</v>
      </c>
      <c r="S109" s="50">
        <f t="shared" si="13"/>
        <v>0</v>
      </c>
      <c r="T109">
        <f t="shared" si="14"/>
        <v>0</v>
      </c>
      <c r="V109" s="50">
        <v>87958</v>
      </c>
      <c r="W109" s="50">
        <v>88052</v>
      </c>
      <c r="X109" s="50">
        <v>87847</v>
      </c>
      <c r="Y109" s="50">
        <v>87957.666666666672</v>
      </c>
      <c r="Z109">
        <v>88120.666666666672</v>
      </c>
      <c r="AA109" s="50">
        <f t="shared" si="15"/>
        <v>87987.06666666668</v>
      </c>
      <c r="AB109">
        <f t="shared" si="16"/>
        <v>104.15517269920036</v>
      </c>
      <c r="AC109">
        <f t="shared" si="17"/>
        <v>1.1837554841302473E-3</v>
      </c>
    </row>
    <row r="110" spans="1:29" x14ac:dyDescent="0.35">
      <c r="A110" s="7" t="s">
        <v>28</v>
      </c>
      <c r="B110" t="s">
        <v>114</v>
      </c>
      <c r="D110">
        <v>4</v>
      </c>
      <c r="E110">
        <v>4</v>
      </c>
      <c r="F110">
        <v>3</v>
      </c>
      <c r="G110">
        <v>3</v>
      </c>
      <c r="H110">
        <v>3</v>
      </c>
      <c r="I110">
        <f t="shared" si="9"/>
        <v>3.4</v>
      </c>
      <c r="J110">
        <f t="shared" si="10"/>
        <v>0.54772255750516674</v>
      </c>
      <c r="K110">
        <f t="shared" si="11"/>
        <v>0.16109486985446081</v>
      </c>
      <c r="M110" s="50">
        <v>195.25</v>
      </c>
      <c r="N110" s="50">
        <v>195.25</v>
      </c>
      <c r="O110" s="50">
        <v>260.33333333333331</v>
      </c>
      <c r="P110" s="50">
        <v>260.33333333333331</v>
      </c>
      <c r="Q110">
        <v>260.33333333333331</v>
      </c>
      <c r="R110" s="50">
        <f t="shared" si="12"/>
        <v>227.79166666666663</v>
      </c>
      <c r="S110" s="50">
        <f t="shared" si="13"/>
        <v>35.647609784294858</v>
      </c>
      <c r="T110">
        <f t="shared" si="14"/>
        <v>0.15649215928719165</v>
      </c>
      <c r="V110" s="50">
        <v>70778.5</v>
      </c>
      <c r="W110" s="50">
        <v>70735.25</v>
      </c>
      <c r="X110" s="50">
        <v>95386.333333333328</v>
      </c>
      <c r="Y110" s="50">
        <v>95106.666666666672</v>
      </c>
      <c r="Z110">
        <v>95610.666666666672</v>
      </c>
      <c r="AA110" s="50">
        <f t="shared" si="15"/>
        <v>85523.483333333337</v>
      </c>
      <c r="AB110">
        <f t="shared" si="16"/>
        <v>13481.198566377914</v>
      </c>
      <c r="AC110">
        <f t="shared" si="17"/>
        <v>0.15763154213251659</v>
      </c>
    </row>
    <row r="111" spans="1:29" x14ac:dyDescent="0.35">
      <c r="A111" s="7" t="s">
        <v>29</v>
      </c>
      <c r="B111" t="s">
        <v>114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f t="shared" si="9"/>
        <v>4</v>
      </c>
      <c r="J111">
        <f t="shared" si="10"/>
        <v>0</v>
      </c>
      <c r="K111">
        <f t="shared" si="11"/>
        <v>0</v>
      </c>
      <c r="M111" s="50">
        <v>223.75</v>
      </c>
      <c r="N111" s="50">
        <v>223.75</v>
      </c>
      <c r="O111" s="50">
        <v>223.75</v>
      </c>
      <c r="P111" s="50">
        <v>223.75</v>
      </c>
      <c r="Q111">
        <v>223.75</v>
      </c>
      <c r="R111" s="50">
        <f t="shared" si="12"/>
        <v>223.75</v>
      </c>
      <c r="S111" s="50">
        <f t="shared" si="13"/>
        <v>0</v>
      </c>
      <c r="T111">
        <f t="shared" si="14"/>
        <v>0</v>
      </c>
      <c r="V111" s="50">
        <v>72963</v>
      </c>
      <c r="W111" s="50">
        <v>72923</v>
      </c>
      <c r="X111" s="50">
        <v>73195.5</v>
      </c>
      <c r="Y111" s="50">
        <v>73400.75</v>
      </c>
      <c r="Z111">
        <v>73572.5</v>
      </c>
      <c r="AA111" s="50">
        <f t="shared" si="15"/>
        <v>73210.95</v>
      </c>
      <c r="AB111">
        <f t="shared" si="16"/>
        <v>279.0051746831947</v>
      </c>
      <c r="AC111">
        <f t="shared" si="17"/>
        <v>3.8109760177021976E-3</v>
      </c>
    </row>
    <row r="112" spans="1:29" x14ac:dyDescent="0.35">
      <c r="A112" s="7" t="s">
        <v>30</v>
      </c>
      <c r="B112" t="s">
        <v>114</v>
      </c>
      <c r="D112">
        <v>5</v>
      </c>
      <c r="E112">
        <v>4</v>
      </c>
      <c r="F112">
        <v>3</v>
      </c>
      <c r="G112">
        <v>6</v>
      </c>
      <c r="H112">
        <v>5</v>
      </c>
      <c r="I112">
        <f t="shared" si="9"/>
        <v>4.5999999999999996</v>
      </c>
      <c r="J112">
        <f t="shared" si="10"/>
        <v>1.1401754250991383</v>
      </c>
      <c r="K112">
        <f t="shared" si="11"/>
        <v>0.24786422284763879</v>
      </c>
      <c r="M112" s="50">
        <v>180.4</v>
      </c>
      <c r="N112" s="50">
        <v>225.5</v>
      </c>
      <c r="O112" s="50">
        <v>300.66666666666669</v>
      </c>
      <c r="P112" s="50">
        <v>150.33333333333329</v>
      </c>
      <c r="Q112">
        <v>180.4</v>
      </c>
      <c r="R112" s="50">
        <f t="shared" si="12"/>
        <v>214.22499999999997</v>
      </c>
      <c r="S112" s="50">
        <f t="shared" si="13"/>
        <v>58.610723326784658</v>
      </c>
      <c r="T112">
        <f t="shared" si="14"/>
        <v>0.27359422722270821</v>
      </c>
      <c r="V112" s="50">
        <v>61991.4</v>
      </c>
      <c r="W112" s="50">
        <v>77782.75</v>
      </c>
      <c r="X112" s="50">
        <v>104856.6666666667</v>
      </c>
      <c r="Y112" s="50">
        <v>51581.333333333343</v>
      </c>
      <c r="Z112">
        <v>62170.400000000001</v>
      </c>
      <c r="AA112" s="50">
        <f t="shared" si="15"/>
        <v>71676.510000000009</v>
      </c>
      <c r="AB112">
        <f t="shared" si="16"/>
        <v>20773.736854926286</v>
      </c>
      <c r="AC112">
        <f t="shared" si="17"/>
        <v>0.28982628834643714</v>
      </c>
    </row>
    <row r="113" spans="1:29" x14ac:dyDescent="0.35">
      <c r="A113" s="7" t="s">
        <v>31</v>
      </c>
      <c r="B113" t="s">
        <v>114</v>
      </c>
      <c r="D113">
        <v>5</v>
      </c>
      <c r="E113">
        <v>4</v>
      </c>
      <c r="F113">
        <v>3</v>
      </c>
      <c r="G113">
        <v>5</v>
      </c>
      <c r="H113">
        <v>3</v>
      </c>
      <c r="I113">
        <f t="shared" si="9"/>
        <v>4</v>
      </c>
      <c r="J113">
        <f t="shared" si="10"/>
        <v>1</v>
      </c>
      <c r="K113">
        <f t="shared" si="11"/>
        <v>0.25</v>
      </c>
      <c r="M113" s="50">
        <v>180</v>
      </c>
      <c r="N113" s="50">
        <v>225</v>
      </c>
      <c r="O113" s="50">
        <v>300</v>
      </c>
      <c r="P113" s="50">
        <v>180</v>
      </c>
      <c r="Q113">
        <v>300</v>
      </c>
      <c r="R113" s="50">
        <f t="shared" si="12"/>
        <v>221.25</v>
      </c>
      <c r="S113" s="50">
        <f t="shared" si="13"/>
        <v>60.373835392494321</v>
      </c>
      <c r="T113">
        <f t="shared" si="14"/>
        <v>0.27287609216946584</v>
      </c>
      <c r="V113" s="50">
        <v>63117</v>
      </c>
      <c r="W113" s="50">
        <v>78755.25</v>
      </c>
      <c r="X113" s="50">
        <v>105586.3333333333</v>
      </c>
      <c r="Y113" s="50">
        <v>62979.199999999997</v>
      </c>
      <c r="Z113">
        <v>105544.6666666667</v>
      </c>
      <c r="AA113" s="50">
        <f t="shared" si="15"/>
        <v>83196.490000000005</v>
      </c>
      <c r="AB113">
        <f t="shared" si="16"/>
        <v>21403.244094982158</v>
      </c>
      <c r="AC113">
        <f t="shared" si="17"/>
        <v>0.25726138320237013</v>
      </c>
    </row>
    <row r="114" spans="1:29" ht="15" thickBot="1" x14ac:dyDescent="0.4">
      <c r="A114" s="8" t="s">
        <v>32</v>
      </c>
      <c r="B114" s="9" t="s">
        <v>114</v>
      </c>
      <c r="D114">
        <v>4</v>
      </c>
      <c r="E114">
        <v>4</v>
      </c>
      <c r="F114">
        <v>5</v>
      </c>
      <c r="G114">
        <v>3</v>
      </c>
      <c r="H114">
        <v>4</v>
      </c>
      <c r="I114">
        <f t="shared" si="9"/>
        <v>4</v>
      </c>
      <c r="J114">
        <f t="shared" si="10"/>
        <v>0.70710678118654757</v>
      </c>
      <c r="K114">
        <f t="shared" si="11"/>
        <v>0.17677669529663689</v>
      </c>
      <c r="M114" s="50">
        <v>225.75</v>
      </c>
      <c r="N114" s="50">
        <v>225.75</v>
      </c>
      <c r="O114" s="50">
        <v>180.6</v>
      </c>
      <c r="P114" s="50">
        <v>301</v>
      </c>
      <c r="Q114">
        <v>225.75</v>
      </c>
      <c r="R114" s="50">
        <f t="shared" si="12"/>
        <v>233.27500000000001</v>
      </c>
      <c r="S114" s="50">
        <f t="shared" si="13"/>
        <v>43.358629475572769</v>
      </c>
      <c r="T114">
        <f t="shared" si="14"/>
        <v>0.18586916504371565</v>
      </c>
      <c r="V114" s="50">
        <v>78733</v>
      </c>
      <c r="W114" s="50">
        <v>79077.5</v>
      </c>
      <c r="X114" s="50">
        <v>62808</v>
      </c>
      <c r="Y114" s="50">
        <v>106364.3333333333</v>
      </c>
      <c r="Z114">
        <v>78587.25</v>
      </c>
      <c r="AA114" s="50">
        <f t="shared" si="15"/>
        <v>81114.016666666663</v>
      </c>
      <c r="AB114">
        <f t="shared" si="16"/>
        <v>15723.310149707268</v>
      </c>
      <c r="AC114">
        <f t="shared" si="17"/>
        <v>0.19384208544771364</v>
      </c>
    </row>
    <row r="115" spans="1:29" x14ac:dyDescent="0.35">
      <c r="J115">
        <f>AVERAGE(J3:J114)</f>
        <v>0.70421577979899574</v>
      </c>
      <c r="K115">
        <f>AVERAGE(K3:K114)</f>
        <v>0.15243035233539642</v>
      </c>
      <c r="S115" s="52">
        <f>AVERAGE(S3:S114)</f>
        <v>17.153253216191665</v>
      </c>
      <c r="T115" s="52">
        <f>AVERAGE(T3:T114)</f>
        <v>0.15159203712769267</v>
      </c>
      <c r="U115" s="52"/>
      <c r="AB115">
        <f>AVERAGE(AB3:AB114)</f>
        <v>5389.2256947291044</v>
      </c>
      <c r="AC115">
        <f>AVERAGE(AC3:AC114)</f>
        <v>0.15891390096834082</v>
      </c>
    </row>
  </sheetData>
  <mergeCells count="3">
    <mergeCell ref="D1:H1"/>
    <mergeCell ref="M1:Q1"/>
    <mergeCell ref="V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Benchmark</vt:lpstr>
      <vt:lpstr>NewInstances</vt:lpstr>
      <vt:lpstr>Stochasicity_all</vt:lpstr>
    </vt:vector>
  </TitlesOfParts>
  <Company>UNIBS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GUASTAROBA</dc:creator>
  <cp:lastModifiedBy>Bakker, Hannah (IOR)</cp:lastModifiedBy>
  <dcterms:created xsi:type="dcterms:W3CDTF">2025-04-30T13:22:29Z</dcterms:created>
  <dcterms:modified xsi:type="dcterms:W3CDTF">2026-09-18T17:15:07Z</dcterms:modified>
</cp:coreProperties>
</file>